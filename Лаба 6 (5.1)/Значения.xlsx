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kle\Desktop\5 сем\лабы\Лаба 6 (5.1)\"/>
    </mc:Choice>
  </mc:AlternateContent>
  <bookViews>
    <workbookView xWindow="0" yWindow="0" windowWidth="14380" windowHeight="4870" activeTab="1"/>
  </bookViews>
  <sheets>
    <sheet name="Лист2" sheetId="2" r:id="rId1"/>
    <sheet name="Лист1" sheetId="1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7" i="1" l="1"/>
  <c r="AE12" i="1"/>
  <c r="AE8" i="1"/>
  <c r="AE5" i="1"/>
  <c r="M7" i="1"/>
  <c r="M13" i="1"/>
  <c r="M11" i="1"/>
  <c r="M9" i="1"/>
  <c r="Y17" i="1" l="1"/>
  <c r="Y12" i="1"/>
  <c r="Y8" i="1"/>
  <c r="Y5" i="1"/>
  <c r="S20" i="1"/>
  <c r="S15" i="1"/>
  <c r="S11" i="1"/>
  <c r="AL2" i="1"/>
  <c r="AL8" i="1"/>
  <c r="AL6" i="1"/>
  <c r="AL4" i="1"/>
  <c r="AL10" i="1"/>
  <c r="K6" i="1"/>
  <c r="K7" i="1"/>
  <c r="K8" i="1"/>
  <c r="K9" i="1"/>
  <c r="K10" i="1"/>
  <c r="K11" i="1"/>
  <c r="K12" i="1"/>
  <c r="K13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5" i="1"/>
  <c r="K5" i="1"/>
  <c r="K14" i="1"/>
  <c r="AM6" i="1" l="1"/>
  <c r="AN6" i="1" s="1"/>
  <c r="AM8" i="1"/>
  <c r="AN8" i="1" s="1"/>
  <c r="AM4" i="1"/>
  <c r="AN4" i="1" s="1"/>
  <c r="AM2" i="1"/>
  <c r="AN2" i="1" s="1"/>
  <c r="AM10" i="1"/>
  <c r="AN10" i="1" s="1"/>
</calcChain>
</file>

<file path=xl/sharedStrings.xml><?xml version="1.0" encoding="utf-8"?>
<sst xmlns="http://schemas.openxmlformats.org/spreadsheetml/2006/main" count="38" uniqueCount="20">
  <si>
    <t>№</t>
  </si>
  <si>
    <t>N0</t>
  </si>
  <si>
    <t>N</t>
  </si>
  <si>
    <t>Фон в присутствии заглушки</t>
  </si>
  <si>
    <t>Фон без заглушки и поглотителя</t>
  </si>
  <si>
    <t>Зависимость фона от количества пробок</t>
  </si>
  <si>
    <t>Зависимость фона от количества алюминеевых цилиндров</t>
  </si>
  <si>
    <t>Зависимость фона от количества железных цилиндров</t>
  </si>
  <si>
    <t>Зависимость фона от количества свинцовых цилиндров</t>
  </si>
  <si>
    <t>Nф</t>
  </si>
  <si>
    <t>ln(N/N0)</t>
  </si>
  <si>
    <t>ср</t>
  </si>
  <si>
    <t>a</t>
  </si>
  <si>
    <t>lna</t>
  </si>
  <si>
    <t>dln(N/N0)</t>
  </si>
  <si>
    <t>Fe</t>
  </si>
  <si>
    <t>Al</t>
  </si>
  <si>
    <t>Pb</t>
  </si>
  <si>
    <t>Пробка</t>
  </si>
  <si>
    <t>0.72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</si>
</sst>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8"/>
  <sheetViews>
    <sheetView tabSelected="1" topLeftCell="AA1" zoomScaleNormal="100" workbookViewId="0">
      <selection activeCell="AH14" sqref="AH14:AL15"/>
    </sheetView>
  </sheetViews>
  <sheetFormatPr defaultRowHeight="14.5" x14ac:dyDescent="0.35"/>
  <sheetData>
    <row r="1" spans="1:40" ht="14.5" customHeight="1" x14ac:dyDescent="0.35">
      <c r="A1" s="11" t="s">
        <v>3</v>
      </c>
      <c r="B1" s="11"/>
      <c r="C1" s="11"/>
      <c r="D1" s="1"/>
      <c r="E1" s="11" t="s">
        <v>4</v>
      </c>
      <c r="F1" s="11"/>
      <c r="G1" s="11"/>
      <c r="H1" s="1"/>
      <c r="I1" s="6" t="s">
        <v>5</v>
      </c>
      <c r="J1" s="7"/>
      <c r="K1" s="7"/>
      <c r="L1" s="7"/>
      <c r="M1" s="7"/>
      <c r="N1" s="1"/>
      <c r="O1" s="6" t="s">
        <v>6</v>
      </c>
      <c r="P1" s="7"/>
      <c r="Q1" s="7"/>
      <c r="R1" s="7"/>
      <c r="S1" s="7"/>
      <c r="T1" s="1"/>
      <c r="U1" s="6" t="s">
        <v>7</v>
      </c>
      <c r="V1" s="7"/>
      <c r="W1" s="7"/>
      <c r="X1" s="7"/>
      <c r="Y1" s="7"/>
      <c r="Z1" s="1"/>
      <c r="AA1" s="6" t="s">
        <v>8</v>
      </c>
      <c r="AB1" s="7"/>
      <c r="AC1" s="7"/>
      <c r="AD1" s="7"/>
      <c r="AE1" s="7"/>
      <c r="AL1" t="s">
        <v>11</v>
      </c>
      <c r="AM1" t="s">
        <v>12</v>
      </c>
      <c r="AN1" t="s">
        <v>13</v>
      </c>
    </row>
    <row r="2" spans="1:40" ht="14.5" customHeight="1" x14ac:dyDescent="0.35">
      <c r="A2" s="11"/>
      <c r="B2" s="11"/>
      <c r="C2" s="11"/>
      <c r="D2" s="1"/>
      <c r="E2" s="11"/>
      <c r="F2" s="11"/>
      <c r="G2" s="11"/>
      <c r="H2" s="1"/>
      <c r="I2" s="6"/>
      <c r="J2" s="7"/>
      <c r="K2" s="7"/>
      <c r="L2" s="7"/>
      <c r="M2" s="7"/>
      <c r="N2" s="1"/>
      <c r="O2" s="6"/>
      <c r="P2" s="7"/>
      <c r="Q2" s="7"/>
      <c r="R2" s="7"/>
      <c r="S2" s="7"/>
      <c r="T2" s="1"/>
      <c r="U2" s="6"/>
      <c r="V2" s="7"/>
      <c r="W2" s="7"/>
      <c r="X2" s="7"/>
      <c r="Y2" s="7"/>
      <c r="Z2" s="1"/>
      <c r="AA2" s="6"/>
      <c r="AB2" s="7"/>
      <c r="AC2" s="7"/>
      <c r="AD2" s="7"/>
      <c r="AE2" s="7"/>
      <c r="AL2">
        <f>AVERAGE(Q5:Q7)</f>
        <v>47171</v>
      </c>
      <c r="AM2">
        <f>AL2/70837</f>
        <v>0.66590905882519025</v>
      </c>
      <c r="AN2">
        <f>LN(AM2)</f>
        <v>-0.40660216607584238</v>
      </c>
    </row>
    <row r="3" spans="1:40" x14ac:dyDescent="0.35">
      <c r="A3" s="11"/>
      <c r="B3" s="11"/>
      <c r="C3" s="11"/>
      <c r="D3" s="1"/>
      <c r="E3" s="11"/>
      <c r="F3" s="11"/>
      <c r="G3" s="11"/>
      <c r="H3" s="1"/>
      <c r="I3" s="6"/>
      <c r="J3" s="7"/>
      <c r="K3" s="7"/>
      <c r="L3" s="7"/>
      <c r="M3" s="7"/>
      <c r="N3" s="1"/>
      <c r="O3" s="6"/>
      <c r="P3" s="7"/>
      <c r="Q3" s="7"/>
      <c r="R3" s="7"/>
      <c r="S3" s="7"/>
      <c r="T3" s="1"/>
      <c r="U3" s="6"/>
      <c r="V3" s="7"/>
      <c r="W3" s="7"/>
      <c r="X3" s="7"/>
      <c r="Y3" s="7"/>
      <c r="Z3" s="1"/>
      <c r="AA3" s="6"/>
      <c r="AB3" s="7"/>
      <c r="AC3" s="7"/>
      <c r="AD3" s="7"/>
      <c r="AE3" s="7"/>
    </row>
    <row r="4" spans="1:40" ht="29" x14ac:dyDescent="0.35">
      <c r="A4" s="2" t="s">
        <v>0</v>
      </c>
      <c r="B4" s="5" t="s">
        <v>2</v>
      </c>
      <c r="C4" s="5"/>
      <c r="D4" s="1"/>
      <c r="E4" s="2" t="s">
        <v>0</v>
      </c>
      <c r="F4" s="5" t="s">
        <v>1</v>
      </c>
      <c r="G4" s="5"/>
      <c r="H4" s="1"/>
      <c r="I4" s="4" t="s">
        <v>0</v>
      </c>
      <c r="J4" s="4" t="s">
        <v>9</v>
      </c>
      <c r="K4" s="4" t="s">
        <v>2</v>
      </c>
      <c r="L4" s="4" t="s">
        <v>10</v>
      </c>
      <c r="M4" s="4" t="s">
        <v>14</v>
      </c>
      <c r="N4" s="1"/>
      <c r="O4" s="3" t="s">
        <v>0</v>
      </c>
      <c r="P4" s="3" t="s">
        <v>9</v>
      </c>
      <c r="Q4" s="3" t="s">
        <v>2</v>
      </c>
      <c r="R4" s="4" t="s">
        <v>10</v>
      </c>
      <c r="S4" s="4" t="s">
        <v>14</v>
      </c>
      <c r="T4" s="1"/>
      <c r="U4" s="3" t="s">
        <v>0</v>
      </c>
      <c r="V4" s="3" t="s">
        <v>9</v>
      </c>
      <c r="W4" s="3" t="s">
        <v>2</v>
      </c>
      <c r="X4" s="4" t="s">
        <v>10</v>
      </c>
      <c r="Y4" s="4" t="s">
        <v>14</v>
      </c>
      <c r="Z4" s="1"/>
      <c r="AA4" s="3" t="s">
        <v>0</v>
      </c>
      <c r="AB4" s="3" t="s">
        <v>9</v>
      </c>
      <c r="AC4" s="3" t="s">
        <v>2</v>
      </c>
      <c r="AD4" s="4" t="s">
        <v>10</v>
      </c>
      <c r="AE4" s="4" t="s">
        <v>14</v>
      </c>
      <c r="AL4">
        <f>AVERAGE(AC8:AC11)</f>
        <v>23618.5</v>
      </c>
      <c r="AM4">
        <f>AL4/70837</f>
        <v>0.33342038765052162</v>
      </c>
      <c r="AN4">
        <f>LN(AM4)</f>
        <v>-1.0983511598136519</v>
      </c>
    </row>
    <row r="5" spans="1:40" x14ac:dyDescent="0.35">
      <c r="A5" s="2">
        <v>1</v>
      </c>
      <c r="B5" s="5">
        <v>177</v>
      </c>
      <c r="C5" s="5"/>
      <c r="D5" s="1"/>
      <c r="E5" s="2">
        <v>1</v>
      </c>
      <c r="F5" s="5">
        <v>70557</v>
      </c>
      <c r="G5" s="5"/>
      <c r="H5" s="1"/>
      <c r="I5" s="5">
        <v>1</v>
      </c>
      <c r="J5" s="2">
        <v>70242</v>
      </c>
      <c r="K5" s="2">
        <f>J5 - 186</f>
        <v>70056</v>
      </c>
      <c r="L5" s="8">
        <v>-1.0365948641591001E-2</v>
      </c>
      <c r="M5" s="8">
        <v>1E-4</v>
      </c>
      <c r="N5" s="1"/>
      <c r="O5" s="8">
        <v>1</v>
      </c>
      <c r="P5" s="2">
        <v>47259</v>
      </c>
      <c r="Q5" s="2">
        <f>P5 - 186</f>
        <v>47073</v>
      </c>
      <c r="R5" s="5">
        <v>-0.40660216607584238</v>
      </c>
      <c r="S5" s="5">
        <v>1.0073074590256017E-4</v>
      </c>
      <c r="T5" s="1"/>
      <c r="U5" s="8">
        <v>1</v>
      </c>
      <c r="V5" s="2">
        <v>39775</v>
      </c>
      <c r="W5" s="2">
        <f>V5 - 186</f>
        <v>39589</v>
      </c>
      <c r="X5" s="5">
        <v>-0.57317841332950614</v>
      </c>
      <c r="Y5" s="5">
        <f>X5 * 0.003</f>
        <v>-1.7195352399885185E-3</v>
      </c>
      <c r="Z5" s="1"/>
      <c r="AA5" s="5">
        <v>1</v>
      </c>
      <c r="AB5" s="2">
        <v>39304</v>
      </c>
      <c r="AC5" s="2">
        <f>AB5 - 186</f>
        <v>39118</v>
      </c>
      <c r="AD5" s="5">
        <v>-0.5878516048256538</v>
      </c>
      <c r="AE5" s="8">
        <f>AD5 * 0.003 * -1</f>
        <v>1.7635548144769614E-3</v>
      </c>
    </row>
    <row r="6" spans="1:40" x14ac:dyDescent="0.35">
      <c r="A6" s="2">
        <v>2</v>
      </c>
      <c r="B6" s="5">
        <v>183</v>
      </c>
      <c r="C6" s="5"/>
      <c r="D6" s="1"/>
      <c r="E6" s="2">
        <v>2</v>
      </c>
      <c r="F6" s="5">
        <v>70863</v>
      </c>
      <c r="G6" s="5"/>
      <c r="H6" s="1"/>
      <c r="I6" s="5"/>
      <c r="J6" s="2">
        <v>70343</v>
      </c>
      <c r="K6" s="2">
        <f t="shared" ref="K6:K14" si="0">J6 - 186</f>
        <v>70157</v>
      </c>
      <c r="L6" s="9"/>
      <c r="M6" s="9"/>
      <c r="N6" s="1"/>
      <c r="O6" s="10"/>
      <c r="P6" s="2">
        <v>47479</v>
      </c>
      <c r="Q6" s="2">
        <f t="shared" ref="Q6:Q26" si="1">P6 - 186</f>
        <v>47293</v>
      </c>
      <c r="R6" s="5"/>
      <c r="S6" s="5"/>
      <c r="T6" s="1"/>
      <c r="U6" s="10"/>
      <c r="V6" s="2">
        <v>40139</v>
      </c>
      <c r="W6" s="2">
        <f t="shared" ref="W6:W26" si="2">V6 - 186</f>
        <v>39953</v>
      </c>
      <c r="X6" s="5"/>
      <c r="Y6" s="5"/>
      <c r="Z6" s="1"/>
      <c r="AA6" s="5"/>
      <c r="AB6" s="2">
        <v>39747</v>
      </c>
      <c r="AC6" s="2">
        <f t="shared" ref="AC6:AC28" si="3">AB6 - 186</f>
        <v>39561</v>
      </c>
      <c r="AD6" s="5"/>
      <c r="AE6" s="10"/>
      <c r="AL6">
        <f>AVERAGE(AC12:AC16)</f>
        <v>13364.6</v>
      </c>
      <c r="AM6">
        <f>AL6/70837</f>
        <v>0.18866693959371517</v>
      </c>
      <c r="AN6">
        <f>LN(AM6)</f>
        <v>-1.6677720428383125</v>
      </c>
    </row>
    <row r="7" spans="1:40" x14ac:dyDescent="0.35">
      <c r="A7" s="2">
        <v>3</v>
      </c>
      <c r="B7" s="5">
        <v>175</v>
      </c>
      <c r="C7" s="5"/>
      <c r="D7" s="1"/>
      <c r="E7" s="2">
        <v>3</v>
      </c>
      <c r="F7" s="5">
        <v>70667</v>
      </c>
      <c r="G7" s="5"/>
      <c r="H7" s="1"/>
      <c r="I7" s="5">
        <v>2</v>
      </c>
      <c r="J7" s="2">
        <v>68779</v>
      </c>
      <c r="K7" s="2">
        <f t="shared" si="0"/>
        <v>68593</v>
      </c>
      <c r="L7" s="8">
        <v>-3.357691530085339E-2</v>
      </c>
      <c r="M7" s="12">
        <f>L7 *-0.003</f>
        <v>1.0073074590256017E-4</v>
      </c>
      <c r="N7" s="1"/>
      <c r="O7" s="9"/>
      <c r="P7" s="2">
        <v>47333</v>
      </c>
      <c r="Q7" s="2">
        <f t="shared" si="1"/>
        <v>47147</v>
      </c>
      <c r="R7" s="5"/>
      <c r="S7" s="5"/>
      <c r="T7" s="1"/>
      <c r="U7" s="9"/>
      <c r="V7" s="2">
        <v>39885</v>
      </c>
      <c r="W7" s="2">
        <f t="shared" si="2"/>
        <v>39699</v>
      </c>
      <c r="X7" s="5"/>
      <c r="Y7" s="5"/>
      <c r="Z7" s="1"/>
      <c r="AA7" s="5"/>
      <c r="AB7" s="2">
        <v>39561</v>
      </c>
      <c r="AC7" s="2">
        <f t="shared" si="3"/>
        <v>39375</v>
      </c>
      <c r="AD7" s="5"/>
      <c r="AE7" s="9"/>
    </row>
    <row r="8" spans="1:40" x14ac:dyDescent="0.35">
      <c r="A8" s="2">
        <v>4</v>
      </c>
      <c r="B8" s="5">
        <v>162</v>
      </c>
      <c r="C8" s="5"/>
      <c r="D8" s="1"/>
      <c r="E8" s="2">
        <v>4</v>
      </c>
      <c r="F8" s="5">
        <v>70564</v>
      </c>
      <c r="G8" s="5"/>
      <c r="H8" s="1"/>
      <c r="I8" s="5"/>
      <c r="J8" s="2">
        <v>68589</v>
      </c>
      <c r="K8" s="2">
        <f t="shared" si="0"/>
        <v>68403</v>
      </c>
      <c r="L8" s="9"/>
      <c r="M8" s="13"/>
      <c r="N8" s="1"/>
      <c r="O8" s="8">
        <v>2</v>
      </c>
      <c r="P8" s="2">
        <v>31603</v>
      </c>
      <c r="Q8" s="2">
        <f t="shared" si="1"/>
        <v>31417</v>
      </c>
      <c r="R8" s="5">
        <v>-0.80913545017360367</v>
      </c>
      <c r="S8" s="5">
        <v>1.0073074590256017E-4</v>
      </c>
      <c r="T8" s="1"/>
      <c r="U8" s="5">
        <v>2</v>
      </c>
      <c r="V8" s="2">
        <v>22540</v>
      </c>
      <c r="W8" s="2">
        <f t="shared" si="2"/>
        <v>22354</v>
      </c>
      <c r="X8" s="5">
        <v>-1.1566696066035194</v>
      </c>
      <c r="Y8" s="5">
        <f>X8 * 0.003</f>
        <v>-3.4700088198105581E-3</v>
      </c>
      <c r="Z8" s="1"/>
      <c r="AA8" s="5">
        <v>2</v>
      </c>
      <c r="AB8" s="2">
        <v>24069</v>
      </c>
      <c r="AC8" s="2">
        <f t="shared" si="3"/>
        <v>23883</v>
      </c>
      <c r="AD8" s="5">
        <v>-1.0983511598136519</v>
      </c>
      <c r="AE8" s="8">
        <f>AD8 * 0.003 * -1</f>
        <v>3.2950534794409557E-3</v>
      </c>
      <c r="AL8">
        <f>AVERAGE(AC17:AC28)</f>
        <v>7555.583333333333</v>
      </c>
      <c r="AM8">
        <f>AL8/70837</f>
        <v>0.1066615375204107</v>
      </c>
      <c r="AN8">
        <f>LN(AM8)</f>
        <v>-2.2380946587587807</v>
      </c>
    </row>
    <row r="9" spans="1:40" x14ac:dyDescent="0.35">
      <c r="A9" s="2">
        <v>5</v>
      </c>
      <c r="B9" s="5">
        <v>184</v>
      </c>
      <c r="C9" s="5"/>
      <c r="D9" s="1"/>
      <c r="E9" s="2">
        <v>5</v>
      </c>
      <c r="F9" s="5">
        <v>70431</v>
      </c>
      <c r="G9" s="5"/>
      <c r="H9" s="1"/>
      <c r="I9" s="5">
        <v>3</v>
      </c>
      <c r="J9" s="2">
        <v>67405</v>
      </c>
      <c r="K9" s="2">
        <f t="shared" si="0"/>
        <v>67219</v>
      </c>
      <c r="L9" s="8">
        <v>-5.1533310766290939E-2</v>
      </c>
      <c r="M9" s="12">
        <f>L9 *-0.003</f>
        <v>1.5459993229887282E-4</v>
      </c>
      <c r="N9" s="1"/>
      <c r="O9" s="10"/>
      <c r="P9" s="2">
        <v>31849</v>
      </c>
      <c r="Q9" s="2">
        <f t="shared" si="1"/>
        <v>31663</v>
      </c>
      <c r="R9" s="5"/>
      <c r="S9" s="5"/>
      <c r="T9" s="1"/>
      <c r="U9" s="5"/>
      <c r="V9" s="2">
        <v>22100</v>
      </c>
      <c r="W9" s="2">
        <f t="shared" si="2"/>
        <v>21914</v>
      </c>
      <c r="X9" s="5"/>
      <c r="Y9" s="5"/>
      <c r="Z9" s="1"/>
      <c r="AA9" s="5"/>
      <c r="AB9" s="2">
        <v>23865</v>
      </c>
      <c r="AC9" s="2">
        <f t="shared" si="3"/>
        <v>23679</v>
      </c>
      <c r="AD9" s="5"/>
      <c r="AE9" s="10"/>
    </row>
    <row r="10" spans="1:40" x14ac:dyDescent="0.35">
      <c r="A10" s="2">
        <v>6</v>
      </c>
      <c r="B10" s="5">
        <v>155</v>
      </c>
      <c r="C10" s="5"/>
      <c r="D10" s="1"/>
      <c r="E10" s="2">
        <v>6</v>
      </c>
      <c r="F10" s="5">
        <v>70547</v>
      </c>
      <c r="G10" s="5"/>
      <c r="H10" s="1"/>
      <c r="I10" s="5"/>
      <c r="J10" s="2">
        <v>67525</v>
      </c>
      <c r="K10" s="2">
        <f t="shared" si="0"/>
        <v>67339</v>
      </c>
      <c r="L10" s="9"/>
      <c r="M10" s="13"/>
      <c r="N10" s="1"/>
      <c r="O10" s="9"/>
      <c r="P10" s="2">
        <v>31725</v>
      </c>
      <c r="Q10" s="2">
        <f t="shared" si="1"/>
        <v>31539</v>
      </c>
      <c r="R10" s="5"/>
      <c r="S10" s="5"/>
      <c r="T10" s="1"/>
      <c r="U10" s="5"/>
      <c r="V10" s="2">
        <v>22432</v>
      </c>
      <c r="W10" s="2">
        <f t="shared" si="2"/>
        <v>22246</v>
      </c>
      <c r="X10" s="5"/>
      <c r="Y10" s="5"/>
      <c r="Z10" s="1"/>
      <c r="AA10" s="5"/>
      <c r="AB10" s="2">
        <v>23510</v>
      </c>
      <c r="AC10" s="2">
        <f t="shared" si="3"/>
        <v>23324</v>
      </c>
      <c r="AD10" s="5"/>
      <c r="AE10" s="10"/>
      <c r="AL10">
        <f>AVERAGE(Q20:Q26)</f>
        <v>9203.2857142857138</v>
      </c>
      <c r="AM10">
        <f>AL10/70837</f>
        <v>0.1299220141209497</v>
      </c>
      <c r="AN10">
        <f>LN(AM10)</f>
        <v>-2.04082089991069</v>
      </c>
    </row>
    <row r="11" spans="1:40" x14ac:dyDescent="0.35">
      <c r="A11" s="2">
        <v>7</v>
      </c>
      <c r="B11" s="5">
        <v>178</v>
      </c>
      <c r="C11" s="5"/>
      <c r="D11" s="1"/>
      <c r="E11" s="2">
        <v>7</v>
      </c>
      <c r="F11" s="5">
        <v>70740</v>
      </c>
      <c r="G11" s="5"/>
      <c r="H11" s="1"/>
      <c r="I11" s="5">
        <v>4</v>
      </c>
      <c r="J11" s="2">
        <v>66868</v>
      </c>
      <c r="K11" s="2">
        <f t="shared" si="0"/>
        <v>66682</v>
      </c>
      <c r="L11" s="8">
        <v>-6.1797012851274119E-2</v>
      </c>
      <c r="M11" s="12">
        <f>L11 *-0.003</f>
        <v>1.8539103855382235E-4</v>
      </c>
      <c r="N11" s="1"/>
      <c r="O11" s="8">
        <v>3</v>
      </c>
      <c r="P11" s="2">
        <v>20600</v>
      </c>
      <c r="Q11" s="2">
        <f t="shared" si="1"/>
        <v>20414</v>
      </c>
      <c r="R11" s="5">
        <v>-1.2361953664637169</v>
      </c>
      <c r="S11" s="5">
        <f>R11 * 0.003</f>
        <v>-3.7085860993911505E-3</v>
      </c>
      <c r="T11" s="1"/>
      <c r="U11" s="5"/>
      <c r="V11" s="2">
        <v>22794</v>
      </c>
      <c r="W11" s="2">
        <f t="shared" si="2"/>
        <v>22608</v>
      </c>
      <c r="X11" s="5"/>
      <c r="Y11" s="5"/>
      <c r="Z11" s="1"/>
      <c r="AA11" s="5"/>
      <c r="AB11" s="2">
        <v>23774</v>
      </c>
      <c r="AC11" s="2">
        <f t="shared" si="3"/>
        <v>23588</v>
      </c>
      <c r="AD11" s="5"/>
      <c r="AE11" s="9"/>
    </row>
    <row r="12" spans="1:40" x14ac:dyDescent="0.35">
      <c r="A12" s="2">
        <v>8</v>
      </c>
      <c r="B12" s="5">
        <v>208</v>
      </c>
      <c r="C12" s="5"/>
      <c r="D12" s="1"/>
      <c r="E12" s="2">
        <v>8</v>
      </c>
      <c r="F12" s="5">
        <v>70824</v>
      </c>
      <c r="G12" s="5"/>
      <c r="H12" s="1"/>
      <c r="I12" s="5"/>
      <c r="J12" s="2">
        <v>66688</v>
      </c>
      <c r="K12" s="2">
        <f t="shared" si="0"/>
        <v>66502</v>
      </c>
      <c r="L12" s="9"/>
      <c r="M12" s="13"/>
      <c r="N12" s="1"/>
      <c r="O12" s="10"/>
      <c r="P12" s="2">
        <v>20898</v>
      </c>
      <c r="Q12" s="2">
        <f t="shared" si="1"/>
        <v>20712</v>
      </c>
      <c r="R12" s="5"/>
      <c r="S12" s="5"/>
      <c r="T12" s="1"/>
      <c r="U12" s="5">
        <v>3</v>
      </c>
      <c r="V12" s="2">
        <v>13062</v>
      </c>
      <c r="W12" s="2">
        <f t="shared" si="2"/>
        <v>12876</v>
      </c>
      <c r="X12" s="5">
        <v>-1.7105926012054218</v>
      </c>
      <c r="Y12" s="5">
        <f>X12 * 0.003</f>
        <v>-5.1317778036162652E-3</v>
      </c>
      <c r="Z12" s="1"/>
      <c r="AA12" s="5">
        <v>3</v>
      </c>
      <c r="AB12" s="2">
        <v>13383</v>
      </c>
      <c r="AC12" s="2">
        <f t="shared" si="3"/>
        <v>13197</v>
      </c>
      <c r="AD12" s="5">
        <v>-1.6677720428383125</v>
      </c>
      <c r="AE12" s="8">
        <f>AD12 * 0.003 *-1</f>
        <v>5.0033161285149372E-3</v>
      </c>
    </row>
    <row r="13" spans="1:40" x14ac:dyDescent="0.35">
      <c r="A13" s="2">
        <v>9</v>
      </c>
      <c r="B13" s="5">
        <v>222</v>
      </c>
      <c r="C13" s="5"/>
      <c r="D13" s="1"/>
      <c r="E13" s="2">
        <v>9</v>
      </c>
      <c r="F13" s="5">
        <v>71038</v>
      </c>
      <c r="G13" s="5"/>
      <c r="H13" s="1"/>
      <c r="I13" s="5">
        <v>5</v>
      </c>
      <c r="J13" s="2">
        <v>65286</v>
      </c>
      <c r="K13" s="2">
        <f t="shared" si="0"/>
        <v>65100</v>
      </c>
      <c r="L13" s="8">
        <v>-8.7919121576445283E-2</v>
      </c>
      <c r="M13" s="12">
        <f>L13 *-0.003</f>
        <v>2.6375736472933586E-4</v>
      </c>
      <c r="N13" s="1"/>
      <c r="O13" s="10"/>
      <c r="P13" s="2">
        <v>20754</v>
      </c>
      <c r="Q13" s="2">
        <f t="shared" si="1"/>
        <v>20568</v>
      </c>
      <c r="R13" s="5"/>
      <c r="S13" s="5"/>
      <c r="T13" s="1"/>
      <c r="U13" s="5"/>
      <c r="V13" s="2">
        <v>12928</v>
      </c>
      <c r="W13" s="2">
        <f t="shared" si="2"/>
        <v>12742</v>
      </c>
      <c r="X13" s="5"/>
      <c r="Y13" s="5"/>
      <c r="Z13" s="1"/>
      <c r="AA13" s="5"/>
      <c r="AB13" s="2">
        <v>13772</v>
      </c>
      <c r="AC13" s="2">
        <f t="shared" si="3"/>
        <v>13586</v>
      </c>
      <c r="AD13" s="5"/>
      <c r="AE13" s="10"/>
    </row>
    <row r="14" spans="1:40" x14ac:dyDescent="0.35">
      <c r="A14" s="2">
        <v>10</v>
      </c>
      <c r="B14" s="5">
        <v>177</v>
      </c>
      <c r="C14" s="5"/>
      <c r="D14" s="1"/>
      <c r="E14" s="2">
        <v>10</v>
      </c>
      <c r="F14" s="5">
        <v>70520</v>
      </c>
      <c r="G14" s="5"/>
      <c r="H14" s="1"/>
      <c r="I14" s="5"/>
      <c r="J14" s="2">
        <v>64836</v>
      </c>
      <c r="K14" s="2">
        <f t="shared" si="0"/>
        <v>64650</v>
      </c>
      <c r="L14" s="9"/>
      <c r="M14" s="13"/>
      <c r="N14" s="1"/>
      <c r="O14" s="9"/>
      <c r="P14" s="2">
        <v>20801</v>
      </c>
      <c r="Q14" s="2">
        <f t="shared" si="1"/>
        <v>20615</v>
      </c>
      <c r="R14" s="5"/>
      <c r="S14" s="5"/>
      <c r="T14" s="1"/>
      <c r="U14" s="5"/>
      <c r="V14" s="2">
        <v>13014</v>
      </c>
      <c r="W14" s="2">
        <f t="shared" si="2"/>
        <v>12828</v>
      </c>
      <c r="X14" s="5"/>
      <c r="Y14" s="5"/>
      <c r="Z14" s="1"/>
      <c r="AA14" s="5"/>
      <c r="AB14" s="2">
        <v>13372</v>
      </c>
      <c r="AC14" s="2">
        <f t="shared" si="3"/>
        <v>13186</v>
      </c>
      <c r="AD14" s="5"/>
      <c r="AE14" s="10"/>
      <c r="AI14" t="s">
        <v>15</v>
      </c>
      <c r="AJ14" t="s">
        <v>16</v>
      </c>
      <c r="AK14" t="s">
        <v>17</v>
      </c>
      <c r="AL14" t="s">
        <v>18</v>
      </c>
    </row>
    <row r="15" spans="1:40" x14ac:dyDescent="0.35">
      <c r="A15" s="2">
        <v>11</v>
      </c>
      <c r="B15" s="5">
        <v>184</v>
      </c>
      <c r="C15" s="5"/>
      <c r="D15" s="1"/>
      <c r="E15" s="2">
        <v>11</v>
      </c>
      <c r="F15" s="5">
        <v>71432</v>
      </c>
      <c r="G15" s="5"/>
      <c r="H15" s="1"/>
      <c r="I15" s="1"/>
      <c r="J15" s="1"/>
      <c r="K15" s="1"/>
      <c r="L15" s="1"/>
      <c r="M15" s="1"/>
      <c r="N15" s="1"/>
      <c r="O15" s="8">
        <v>4</v>
      </c>
      <c r="P15" s="2">
        <v>14162</v>
      </c>
      <c r="Q15" s="2">
        <f t="shared" si="1"/>
        <v>13976</v>
      </c>
      <c r="R15" s="5">
        <v>-1.6317785913510983</v>
      </c>
      <c r="S15" s="5">
        <f>R15 * 0.003</f>
        <v>-4.8953357740532952E-3</v>
      </c>
      <c r="T15" s="1"/>
      <c r="U15" s="5"/>
      <c r="V15" s="2">
        <v>12831</v>
      </c>
      <c r="W15" s="2">
        <f t="shared" si="2"/>
        <v>12645</v>
      </c>
      <c r="X15" s="5"/>
      <c r="Y15" s="5"/>
      <c r="Z15" s="1"/>
      <c r="AA15" s="5"/>
      <c r="AB15" s="2">
        <v>13689</v>
      </c>
      <c r="AC15" s="2">
        <f t="shared" si="3"/>
        <v>13503</v>
      </c>
      <c r="AD15" s="5"/>
      <c r="AE15" s="10"/>
      <c r="AH15">
        <v>2222</v>
      </c>
      <c r="AI15" s="14">
        <v>1.56</v>
      </c>
      <c r="AJ15" s="14">
        <v>0.81</v>
      </c>
      <c r="AK15" s="14">
        <v>1.08</v>
      </c>
      <c r="AL15" t="s">
        <v>19</v>
      </c>
    </row>
    <row r="16" spans="1:40" x14ac:dyDescent="0.35">
      <c r="A16" s="2">
        <v>12</v>
      </c>
      <c r="B16" s="5">
        <v>179</v>
      </c>
      <c r="C16" s="5"/>
      <c r="D16" s="1"/>
      <c r="E16" s="2">
        <v>12</v>
      </c>
      <c r="F16" s="5">
        <v>70555</v>
      </c>
      <c r="G16" s="5"/>
      <c r="H16" s="1"/>
      <c r="I16" s="1"/>
      <c r="J16" s="1"/>
      <c r="K16" s="1"/>
      <c r="L16" s="1"/>
      <c r="M16" s="1"/>
      <c r="N16" s="1"/>
      <c r="O16" s="10"/>
      <c r="P16" s="2">
        <v>14114</v>
      </c>
      <c r="Q16" s="2">
        <f t="shared" si="1"/>
        <v>13928</v>
      </c>
      <c r="R16" s="5"/>
      <c r="S16" s="5"/>
      <c r="T16" s="1"/>
      <c r="U16" s="5"/>
      <c r="V16" s="2">
        <v>13117</v>
      </c>
      <c r="W16" s="2">
        <f t="shared" si="2"/>
        <v>12931</v>
      </c>
      <c r="X16" s="5"/>
      <c r="Y16" s="5"/>
      <c r="Z16" s="1"/>
      <c r="AA16" s="5"/>
      <c r="AB16" s="2">
        <v>13537</v>
      </c>
      <c r="AC16" s="2">
        <f t="shared" si="3"/>
        <v>13351</v>
      </c>
      <c r="AD16" s="5"/>
      <c r="AE16" s="9"/>
    </row>
    <row r="17" spans="1:31" x14ac:dyDescent="0.35">
      <c r="A17" s="2">
        <v>13</v>
      </c>
      <c r="B17" s="5">
        <v>156</v>
      </c>
      <c r="C17" s="5"/>
      <c r="D17" s="1"/>
      <c r="E17" s="2">
        <v>13</v>
      </c>
      <c r="F17" s="5">
        <v>70943</v>
      </c>
      <c r="G17" s="5"/>
      <c r="H17" s="1"/>
      <c r="I17" s="1"/>
      <c r="J17" s="1"/>
      <c r="K17" s="1"/>
      <c r="L17" s="1"/>
      <c r="M17" s="1"/>
      <c r="N17" s="1"/>
      <c r="O17" s="10"/>
      <c r="P17" s="2">
        <v>13882</v>
      </c>
      <c r="Q17" s="2">
        <f t="shared" si="1"/>
        <v>13696</v>
      </c>
      <c r="R17" s="5"/>
      <c r="S17" s="5"/>
      <c r="T17" s="1"/>
      <c r="U17" s="5">
        <v>4</v>
      </c>
      <c r="V17" s="2">
        <v>7380</v>
      </c>
      <c r="W17" s="2">
        <f t="shared" si="2"/>
        <v>7194</v>
      </c>
      <c r="X17" s="5">
        <v>-2.296028153785127</v>
      </c>
      <c r="Y17" s="5">
        <f>X17 * 0.003</f>
        <v>-6.888084461355381E-3</v>
      </c>
      <c r="Z17" s="1"/>
      <c r="AA17" s="5">
        <v>4</v>
      </c>
      <c r="AB17" s="2">
        <v>7810</v>
      </c>
      <c r="AC17" s="2">
        <f t="shared" si="3"/>
        <v>7624</v>
      </c>
      <c r="AD17" s="5">
        <v>-2.2380946587587807</v>
      </c>
      <c r="AE17" s="8">
        <f>AD17 * 0.003 *-1</f>
        <v>6.7142839762763425E-3</v>
      </c>
    </row>
    <row r="18" spans="1:31" x14ac:dyDescent="0.35">
      <c r="A18" s="2">
        <v>14</v>
      </c>
      <c r="B18" s="5">
        <v>221</v>
      </c>
      <c r="C18" s="5"/>
      <c r="D18" s="1"/>
      <c r="E18" s="2">
        <v>14</v>
      </c>
      <c r="F18" s="5">
        <v>71393</v>
      </c>
      <c r="G18" s="5"/>
      <c r="H18" s="1"/>
      <c r="I18" s="1"/>
      <c r="J18" s="1"/>
      <c r="K18" s="1"/>
      <c r="L18" s="1"/>
      <c r="M18" s="1"/>
      <c r="N18" s="1"/>
      <c r="O18" s="10"/>
      <c r="P18" s="2">
        <v>13989</v>
      </c>
      <c r="Q18" s="2">
        <f t="shared" si="1"/>
        <v>13803</v>
      </c>
      <c r="R18" s="5"/>
      <c r="S18" s="5"/>
      <c r="T18" s="1"/>
      <c r="U18" s="5"/>
      <c r="V18" s="2">
        <v>7210</v>
      </c>
      <c r="W18" s="2">
        <f t="shared" si="2"/>
        <v>7024</v>
      </c>
      <c r="X18" s="5"/>
      <c r="Y18" s="5"/>
      <c r="Z18" s="1"/>
      <c r="AA18" s="5"/>
      <c r="AB18" s="2">
        <v>7703</v>
      </c>
      <c r="AC18" s="2">
        <f t="shared" si="3"/>
        <v>7517</v>
      </c>
      <c r="AD18" s="5"/>
      <c r="AE18" s="10"/>
    </row>
    <row r="19" spans="1:31" x14ac:dyDescent="0.35">
      <c r="A19" s="2">
        <v>15</v>
      </c>
      <c r="B19" s="5">
        <v>201</v>
      </c>
      <c r="C19" s="5"/>
      <c r="D19" s="1"/>
      <c r="E19" s="2">
        <v>15</v>
      </c>
      <c r="F19" s="5">
        <v>71001</v>
      </c>
      <c r="G19" s="5"/>
      <c r="H19" s="1"/>
      <c r="I19" s="1"/>
      <c r="J19" s="1"/>
      <c r="K19" s="1"/>
      <c r="L19" s="1"/>
      <c r="M19" s="1"/>
      <c r="N19" s="1"/>
      <c r="O19" s="9"/>
      <c r="P19" s="2">
        <v>14055</v>
      </c>
      <c r="Q19" s="2">
        <f t="shared" si="1"/>
        <v>13869</v>
      </c>
      <c r="R19" s="5"/>
      <c r="S19" s="5"/>
      <c r="T19" s="1"/>
      <c r="U19" s="5"/>
      <c r="V19" s="2">
        <v>7353</v>
      </c>
      <c r="W19" s="2">
        <f t="shared" si="2"/>
        <v>7167</v>
      </c>
      <c r="X19" s="5"/>
      <c r="Y19" s="5"/>
      <c r="Z19" s="1"/>
      <c r="AA19" s="5"/>
      <c r="AB19" s="2">
        <v>7834</v>
      </c>
      <c r="AC19" s="2">
        <f t="shared" si="3"/>
        <v>7648</v>
      </c>
      <c r="AD19" s="5"/>
      <c r="AE19" s="10"/>
    </row>
    <row r="20" spans="1:31" x14ac:dyDescent="0.35">
      <c r="A20" s="2">
        <v>16</v>
      </c>
      <c r="B20" s="5">
        <v>177</v>
      </c>
      <c r="C20" s="5"/>
      <c r="D20" s="1"/>
      <c r="E20" s="2">
        <v>16</v>
      </c>
      <c r="F20" s="5">
        <v>70860</v>
      </c>
      <c r="G20" s="5"/>
      <c r="H20" s="1"/>
      <c r="I20" s="1"/>
      <c r="J20" s="1"/>
      <c r="K20" s="1"/>
      <c r="L20" s="1"/>
      <c r="M20" s="1"/>
      <c r="N20" s="1"/>
      <c r="O20" s="8">
        <v>5</v>
      </c>
      <c r="P20" s="2">
        <v>9492</v>
      </c>
      <c r="Q20" s="2">
        <f t="shared" si="1"/>
        <v>9306</v>
      </c>
      <c r="R20" s="5">
        <v>-2.04082089991069</v>
      </c>
      <c r="S20" s="5">
        <f>R20 * 0.003</f>
        <v>-6.1224626997320704E-3</v>
      </c>
      <c r="T20" s="1"/>
      <c r="U20" s="5"/>
      <c r="V20" s="2">
        <v>7618</v>
      </c>
      <c r="W20" s="2">
        <f t="shared" si="2"/>
        <v>7432</v>
      </c>
      <c r="X20" s="5"/>
      <c r="Y20" s="5"/>
      <c r="Z20" s="1"/>
      <c r="AA20" s="5"/>
      <c r="AB20" s="2">
        <v>7839</v>
      </c>
      <c r="AC20" s="2">
        <f t="shared" si="3"/>
        <v>7653</v>
      </c>
      <c r="AD20" s="5"/>
      <c r="AE20" s="10"/>
    </row>
    <row r="21" spans="1:31" x14ac:dyDescent="0.35">
      <c r="A21" s="2">
        <v>17</v>
      </c>
      <c r="B21" s="5">
        <v>194</v>
      </c>
      <c r="C21" s="5"/>
      <c r="D21" s="1"/>
      <c r="E21" s="2">
        <v>17</v>
      </c>
      <c r="F21" s="5">
        <v>71348</v>
      </c>
      <c r="G21" s="5"/>
      <c r="H21" s="1"/>
      <c r="I21" s="1"/>
      <c r="J21" s="1"/>
      <c r="K21" s="1"/>
      <c r="L21" s="1"/>
      <c r="M21" s="1"/>
      <c r="N21" s="1"/>
      <c r="O21" s="10"/>
      <c r="P21" s="2">
        <v>9339</v>
      </c>
      <c r="Q21" s="2">
        <f t="shared" si="1"/>
        <v>9153</v>
      </c>
      <c r="R21" s="5"/>
      <c r="S21" s="5"/>
      <c r="T21" s="1"/>
      <c r="U21" s="5"/>
      <c r="V21" s="2">
        <v>7132</v>
      </c>
      <c r="W21" s="2">
        <f t="shared" si="2"/>
        <v>6946</v>
      </c>
      <c r="X21" s="5"/>
      <c r="Y21" s="5"/>
      <c r="Z21" s="1"/>
      <c r="AA21" s="5"/>
      <c r="AB21" s="2">
        <v>7542</v>
      </c>
      <c r="AC21" s="2">
        <f t="shared" si="3"/>
        <v>7356</v>
      </c>
      <c r="AD21" s="5"/>
      <c r="AE21" s="10"/>
    </row>
    <row r="22" spans="1:31" x14ac:dyDescent="0.35">
      <c r="A22" s="2">
        <v>18</v>
      </c>
      <c r="B22" s="5">
        <v>199</v>
      </c>
      <c r="C22" s="5"/>
      <c r="D22" s="1"/>
      <c r="E22" s="2">
        <v>18</v>
      </c>
      <c r="F22" s="5">
        <v>70783</v>
      </c>
      <c r="G22" s="5"/>
      <c r="H22" s="1"/>
      <c r="I22" s="1"/>
      <c r="J22" s="1"/>
      <c r="K22" s="1"/>
      <c r="L22" s="1"/>
      <c r="M22" s="1"/>
      <c r="N22" s="1"/>
      <c r="O22" s="10"/>
      <c r="P22" s="2">
        <v>9436</v>
      </c>
      <c r="Q22" s="2">
        <f t="shared" si="1"/>
        <v>9250</v>
      </c>
      <c r="R22" s="5"/>
      <c r="S22" s="5"/>
      <c r="T22" s="1"/>
      <c r="U22" s="5"/>
      <c r="V22" s="2">
        <v>7298</v>
      </c>
      <c r="W22" s="2">
        <f t="shared" si="2"/>
        <v>7112</v>
      </c>
      <c r="X22" s="5"/>
      <c r="Y22" s="5"/>
      <c r="Z22" s="1"/>
      <c r="AA22" s="5"/>
      <c r="AB22" s="2">
        <v>7760</v>
      </c>
      <c r="AC22" s="2">
        <f t="shared" si="3"/>
        <v>7574</v>
      </c>
      <c r="AD22" s="5"/>
      <c r="AE22" s="10"/>
    </row>
    <row r="23" spans="1:31" x14ac:dyDescent="0.35">
      <c r="A23" s="2">
        <v>19</v>
      </c>
      <c r="B23" s="5">
        <v>163</v>
      </c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0"/>
      <c r="P23" s="2">
        <v>9325</v>
      </c>
      <c r="Q23" s="2">
        <f t="shared" si="1"/>
        <v>9139</v>
      </c>
      <c r="R23" s="5"/>
      <c r="S23" s="5"/>
      <c r="T23" s="1"/>
      <c r="U23" s="5"/>
      <c r="V23" s="2">
        <v>7189</v>
      </c>
      <c r="W23" s="2">
        <f t="shared" si="2"/>
        <v>7003</v>
      </c>
      <c r="X23" s="5"/>
      <c r="Y23" s="5"/>
      <c r="Z23" s="1"/>
      <c r="AA23" s="5"/>
      <c r="AB23" s="2">
        <v>7656</v>
      </c>
      <c r="AC23" s="2">
        <f t="shared" si="3"/>
        <v>7470</v>
      </c>
      <c r="AD23" s="5"/>
      <c r="AE23" s="10"/>
    </row>
    <row r="24" spans="1:31" x14ac:dyDescent="0.35">
      <c r="A24" s="2">
        <v>20</v>
      </c>
      <c r="B24" s="5">
        <v>221</v>
      </c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0"/>
      <c r="P24" s="2">
        <v>9401</v>
      </c>
      <c r="Q24" s="2">
        <f t="shared" si="1"/>
        <v>9215</v>
      </c>
      <c r="R24" s="5"/>
      <c r="S24" s="5"/>
      <c r="T24" s="1"/>
      <c r="U24" s="5"/>
      <c r="V24" s="2">
        <v>7232</v>
      </c>
      <c r="W24" s="2">
        <f t="shared" si="2"/>
        <v>7046</v>
      </c>
      <c r="X24" s="5"/>
      <c r="Y24" s="5"/>
      <c r="Z24" s="1"/>
      <c r="AA24" s="5"/>
      <c r="AB24" s="2">
        <v>7740</v>
      </c>
      <c r="AC24" s="2">
        <f t="shared" si="3"/>
        <v>7554</v>
      </c>
      <c r="AD24" s="5"/>
      <c r="AE24" s="10"/>
    </row>
    <row r="25" spans="1:3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0"/>
      <c r="P25" s="2">
        <v>9352</v>
      </c>
      <c r="Q25" s="2">
        <f t="shared" si="1"/>
        <v>9166</v>
      </c>
      <c r="R25" s="5"/>
      <c r="S25" s="5"/>
      <c r="T25" s="1"/>
      <c r="U25" s="5"/>
      <c r="V25" s="2">
        <v>7421</v>
      </c>
      <c r="W25" s="2">
        <f t="shared" si="2"/>
        <v>7235</v>
      </c>
      <c r="X25" s="5"/>
      <c r="Y25" s="5"/>
      <c r="Z25" s="1"/>
      <c r="AA25" s="5"/>
      <c r="AB25" s="2">
        <v>7802</v>
      </c>
      <c r="AC25" s="2">
        <f t="shared" si="3"/>
        <v>7616</v>
      </c>
      <c r="AD25" s="5"/>
      <c r="AE25" s="10"/>
    </row>
    <row r="26" spans="1:3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/>
      <c r="P26" s="2">
        <v>9380</v>
      </c>
      <c r="Q26" s="2">
        <f t="shared" si="1"/>
        <v>9194</v>
      </c>
      <c r="R26" s="5"/>
      <c r="S26" s="5"/>
      <c r="T26" s="1"/>
      <c r="U26" s="5"/>
      <c r="V26" s="2">
        <v>7330</v>
      </c>
      <c r="W26" s="2">
        <f t="shared" si="2"/>
        <v>7144</v>
      </c>
      <c r="X26" s="5"/>
      <c r="Y26" s="5"/>
      <c r="Z26" s="1"/>
      <c r="AA26" s="5"/>
      <c r="AB26" s="2">
        <v>7779</v>
      </c>
      <c r="AC26" s="2">
        <f t="shared" si="3"/>
        <v>7593</v>
      </c>
      <c r="AD26" s="5"/>
      <c r="AE26" s="10"/>
    </row>
    <row r="27" spans="1:3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2">
        <v>7751</v>
      </c>
      <c r="AC27" s="2">
        <f t="shared" si="3"/>
        <v>7565</v>
      </c>
      <c r="AD27" s="5"/>
      <c r="AE27" s="10"/>
    </row>
    <row r="28" spans="1:3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2">
        <v>7683</v>
      </c>
      <c r="AC28" s="2">
        <f t="shared" si="3"/>
        <v>7497</v>
      </c>
      <c r="AD28" s="5"/>
      <c r="AE28" s="9"/>
    </row>
  </sheetData>
  <mergeCells count="100">
    <mergeCell ref="B10:C10"/>
    <mergeCell ref="B23:C23"/>
    <mergeCell ref="B24:C24"/>
    <mergeCell ref="B4:C4"/>
    <mergeCell ref="F4:G4"/>
    <mergeCell ref="F5:G5"/>
    <mergeCell ref="F6:G6"/>
    <mergeCell ref="F7:G7"/>
    <mergeCell ref="F8:G8"/>
    <mergeCell ref="F9:G9"/>
    <mergeCell ref="F10:G10"/>
    <mergeCell ref="B17:C17"/>
    <mergeCell ref="B18:C18"/>
    <mergeCell ref="B19:C19"/>
    <mergeCell ref="B20:C20"/>
    <mergeCell ref="B21:C21"/>
    <mergeCell ref="B22:C22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A1:C3"/>
    <mergeCell ref="E1:G3"/>
    <mergeCell ref="F17:G17"/>
    <mergeCell ref="F18:G18"/>
    <mergeCell ref="F19:G19"/>
    <mergeCell ref="B11:C11"/>
    <mergeCell ref="B12:C12"/>
    <mergeCell ref="B13:C13"/>
    <mergeCell ref="B14:C14"/>
    <mergeCell ref="B15:C15"/>
    <mergeCell ref="B16:C16"/>
    <mergeCell ref="B5:C5"/>
    <mergeCell ref="B6:C6"/>
    <mergeCell ref="B7:C7"/>
    <mergeCell ref="B8:C8"/>
    <mergeCell ref="B9:C9"/>
    <mergeCell ref="O15:O19"/>
    <mergeCell ref="O20:O26"/>
    <mergeCell ref="R15:R19"/>
    <mergeCell ref="S15:S19"/>
    <mergeCell ref="R20:R26"/>
    <mergeCell ref="I5:I6"/>
    <mergeCell ref="O5:O7"/>
    <mergeCell ref="U5:U7"/>
    <mergeCell ref="AA5:AA7"/>
    <mergeCell ref="L5:L6"/>
    <mergeCell ref="L7:L8"/>
    <mergeCell ref="AA8:AA11"/>
    <mergeCell ref="O8:O10"/>
    <mergeCell ref="O11:O14"/>
    <mergeCell ref="U8:U11"/>
    <mergeCell ref="U12:U16"/>
    <mergeCell ref="M11:M12"/>
    <mergeCell ref="L9:L10"/>
    <mergeCell ref="L11:L12"/>
    <mergeCell ref="L13:L14"/>
    <mergeCell ref="M7:M8"/>
    <mergeCell ref="M5:M6"/>
    <mergeCell ref="M13:M14"/>
    <mergeCell ref="O1:S3"/>
    <mergeCell ref="R5:R7"/>
    <mergeCell ref="S5:S7"/>
    <mergeCell ref="R8:R10"/>
    <mergeCell ref="S8:S10"/>
    <mergeCell ref="R11:R14"/>
    <mergeCell ref="S11:S14"/>
    <mergeCell ref="I1:M3"/>
    <mergeCell ref="M9:M10"/>
    <mergeCell ref="I7:I8"/>
    <mergeCell ref="I9:I10"/>
    <mergeCell ref="I11:I12"/>
    <mergeCell ref="I13:I14"/>
    <mergeCell ref="S20:S26"/>
    <mergeCell ref="U1:Y3"/>
    <mergeCell ref="X5:X7"/>
    <mergeCell ref="Y5:Y7"/>
    <mergeCell ref="X8:X11"/>
    <mergeCell ref="X12:X16"/>
    <mergeCell ref="X17:X26"/>
    <mergeCell ref="Y17:Y26"/>
    <mergeCell ref="Y8:Y11"/>
    <mergeCell ref="U17:U26"/>
    <mergeCell ref="AD17:AD28"/>
    <mergeCell ref="AE17:AE28"/>
    <mergeCell ref="Y12:Y16"/>
    <mergeCell ref="AA1:AE3"/>
    <mergeCell ref="AD5:AD7"/>
    <mergeCell ref="AE5:AE7"/>
    <mergeCell ref="AD8:AD11"/>
    <mergeCell ref="AE8:AE11"/>
    <mergeCell ref="AD12:AD16"/>
    <mergeCell ref="AE12:AE16"/>
    <mergeCell ref="AA17:AA28"/>
    <mergeCell ref="AA12:A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Васильев</dc:creator>
  <cp:lastModifiedBy>Михаил Васильев</cp:lastModifiedBy>
  <dcterms:created xsi:type="dcterms:W3CDTF">2021-11-30T20:00:24Z</dcterms:created>
  <dcterms:modified xsi:type="dcterms:W3CDTF">2021-11-30T23:14:13Z</dcterms:modified>
</cp:coreProperties>
</file>