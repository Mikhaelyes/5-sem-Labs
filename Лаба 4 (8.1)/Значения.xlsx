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kle\Desktop\5 сем\лабы\Лаба 4 (8.1)\"/>
    </mc:Choice>
  </mc:AlternateContent>
  <bookViews>
    <workbookView xWindow="0" yWindow="0" windowWidth="19200" windowHeight="79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2" i="1"/>
  <c r="N3" i="1"/>
  <c r="N4" i="1"/>
  <c r="N5" i="1"/>
  <c r="N6" i="1"/>
  <c r="N7" i="1"/>
  <c r="N8" i="1"/>
  <c r="N9" i="1"/>
  <c r="N10" i="1"/>
  <c r="N11" i="1"/>
  <c r="N12" i="1"/>
  <c r="N2" i="1"/>
  <c r="J3" i="1" l="1"/>
  <c r="J4" i="1"/>
  <c r="J5" i="1"/>
  <c r="J6" i="1"/>
  <c r="J7" i="1"/>
  <c r="J8" i="1"/>
  <c r="J9" i="1"/>
  <c r="J10" i="1"/>
  <c r="J11" i="1"/>
  <c r="J12" i="1"/>
  <c r="J2" i="1"/>
  <c r="I7" i="1"/>
  <c r="I12" i="1"/>
  <c r="I2" i="1"/>
  <c r="H2" i="1"/>
  <c r="H3" i="1"/>
  <c r="H4" i="1"/>
  <c r="H5" i="1"/>
  <c r="H6" i="1"/>
  <c r="H7" i="1"/>
  <c r="H8" i="1"/>
  <c r="H9" i="1"/>
  <c r="H10" i="1"/>
  <c r="H11" i="1"/>
  <c r="H12" i="1"/>
  <c r="G3" i="1"/>
  <c r="G4" i="1"/>
  <c r="G5" i="1"/>
  <c r="G6" i="1"/>
  <c r="G7" i="1"/>
  <c r="G8" i="1"/>
  <c r="G9" i="1"/>
  <c r="G10" i="1"/>
  <c r="G11" i="1"/>
  <c r="G12" i="1"/>
  <c r="G2" i="1"/>
  <c r="D4" i="1"/>
  <c r="D2" i="1"/>
  <c r="C3" i="1"/>
  <c r="I3" i="1" s="1"/>
  <c r="C4" i="1"/>
  <c r="I4" i="1" s="1"/>
  <c r="C5" i="1"/>
  <c r="D5" i="1" s="1"/>
  <c r="C6" i="1"/>
  <c r="D6" i="1" s="1"/>
  <c r="C7" i="1"/>
  <c r="D7" i="1" s="1"/>
  <c r="C8" i="1"/>
  <c r="I8" i="1" s="1"/>
  <c r="C9" i="1"/>
  <c r="D9" i="1" s="1"/>
  <c r="C10" i="1"/>
  <c r="D10" i="1" s="1"/>
  <c r="C11" i="1"/>
  <c r="I11" i="1" s="1"/>
  <c r="C12" i="1"/>
  <c r="D12" i="1" s="1"/>
  <c r="C2" i="1"/>
  <c r="I6" i="1" l="1"/>
  <c r="I5" i="1"/>
  <c r="D11" i="1"/>
  <c r="D3" i="1"/>
  <c r="I10" i="1"/>
  <c r="D8" i="1"/>
  <c r="I9" i="1"/>
</calcChain>
</file>

<file path=xl/sharedStrings.xml><?xml version="1.0" encoding="utf-8"?>
<sst xmlns="http://schemas.openxmlformats.org/spreadsheetml/2006/main" count="10" uniqueCount="10">
  <si>
    <t>№</t>
  </si>
  <si>
    <t>I mA</t>
  </si>
  <si>
    <t>V mV</t>
  </si>
  <si>
    <t>Tя</t>
  </si>
  <si>
    <t>Tт</t>
  </si>
  <si>
    <t>dTт</t>
  </si>
  <si>
    <t>W вт</t>
  </si>
  <si>
    <t>lnW</t>
  </si>
  <si>
    <t>lnT</t>
  </si>
  <si>
    <t>dWвт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</si>
</sst>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H2" sqref="H2:H12"/>
    </sheetView>
  </sheetViews>
  <sheetFormatPr defaultRowHeight="14.5" x14ac:dyDescent="0.35"/>
  <cols>
    <col min="4" max="4" width="9.26953125" bestFit="1" customWidth="1"/>
    <col min="10" max="10" width="9.26953125" bestFit="1" customWidth="1"/>
  </cols>
  <sheetData>
    <row r="1" spans="1:14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6</v>
      </c>
      <c r="H1" s="1" t="s">
        <v>7</v>
      </c>
      <c r="I1" s="1" t="s">
        <v>8</v>
      </c>
      <c r="J1" s="5" t="s">
        <v>9</v>
      </c>
    </row>
    <row r="2" spans="1:14" x14ac:dyDescent="0.35">
      <c r="A2" s="1">
        <v>1</v>
      </c>
      <c r="B2">
        <f>M2 +272</f>
        <v>1143</v>
      </c>
      <c r="C2" s="2">
        <f>B2 *16/15</f>
        <v>1219.2</v>
      </c>
      <c r="D2" s="2">
        <f>C2 *0.025</f>
        <v>30.480000000000004</v>
      </c>
      <c r="E2" s="1">
        <v>594</v>
      </c>
      <c r="F2" s="1">
        <v>2366</v>
      </c>
      <c r="G2" s="3">
        <f>E2 * F2 /1000000</f>
        <v>1.4054040000000001</v>
      </c>
      <c r="H2" s="4">
        <f xml:space="preserve"> LN(G2)</f>
        <v>0.340324805936703</v>
      </c>
      <c r="I2" s="3">
        <f>LN(C2)</f>
        <v>7.1059501849323823</v>
      </c>
      <c r="J2" s="3">
        <f t="shared" ref="J2:J12" si="0">G2*0.02</f>
        <v>2.8108080000000004E-2</v>
      </c>
      <c r="M2" s="1">
        <v>871</v>
      </c>
      <c r="N2">
        <f>M2 +272</f>
        <v>1143</v>
      </c>
    </row>
    <row r="3" spans="1:14" x14ac:dyDescent="0.35">
      <c r="A3" s="1">
        <v>2</v>
      </c>
      <c r="B3">
        <f t="shared" ref="B3:B12" si="1">M3 +272</f>
        <v>1157</v>
      </c>
      <c r="C3" s="2">
        <f t="shared" ref="C3:C12" si="2">B3 *16/15</f>
        <v>1234.1333333333334</v>
      </c>
      <c r="D3" s="2">
        <f t="shared" ref="D3:D12" si="3">C3 *0.025</f>
        <v>30.853333333333339</v>
      </c>
      <c r="E3" s="1">
        <v>651</v>
      </c>
      <c r="F3" s="1">
        <v>2922</v>
      </c>
      <c r="G3" s="3">
        <f t="shared" ref="G3:G12" si="4">E3 * F3 /1000000</f>
        <v>1.9022220000000001</v>
      </c>
      <c r="H3" s="4">
        <f xml:space="preserve"> LN(G3)</f>
        <v>0.64302267655493994</v>
      </c>
      <c r="I3" s="3">
        <f t="shared" ref="I3:I12" si="5">LN(C3)</f>
        <v>7.1181242483312479</v>
      </c>
      <c r="J3" s="3">
        <f t="shared" si="0"/>
        <v>3.8044440000000006E-2</v>
      </c>
      <c r="M3" s="1">
        <v>885</v>
      </c>
      <c r="N3">
        <f t="shared" ref="N3:N12" si="6">M3 +272</f>
        <v>1157</v>
      </c>
    </row>
    <row r="4" spans="1:14" x14ac:dyDescent="0.35">
      <c r="A4" s="1">
        <v>3</v>
      </c>
      <c r="B4">
        <f t="shared" si="1"/>
        <v>1173</v>
      </c>
      <c r="C4" s="2">
        <f t="shared" si="2"/>
        <v>1251.2</v>
      </c>
      <c r="D4" s="2">
        <f t="shared" si="3"/>
        <v>31.28</v>
      </c>
      <c r="E4" s="1">
        <v>670</v>
      </c>
      <c r="F4" s="1">
        <v>3124</v>
      </c>
      <c r="G4" s="3">
        <f t="shared" si="4"/>
        <v>2.0930800000000001</v>
      </c>
      <c r="H4" s="4">
        <f t="shared" ref="H4:H12" si="7" xml:space="preserve"> LN(G4)</f>
        <v>0.73863666538031425</v>
      </c>
      <c r="I4" s="3">
        <f t="shared" si="5"/>
        <v>7.1318583697910469</v>
      </c>
      <c r="J4" s="3">
        <f t="shared" si="0"/>
        <v>4.1861599999999999E-2</v>
      </c>
      <c r="M4" s="1">
        <v>901</v>
      </c>
      <c r="N4">
        <f t="shared" si="6"/>
        <v>1173</v>
      </c>
    </row>
    <row r="5" spans="1:14" x14ac:dyDescent="0.35">
      <c r="A5" s="1">
        <v>4</v>
      </c>
      <c r="B5">
        <f t="shared" si="1"/>
        <v>1222</v>
      </c>
      <c r="C5" s="2">
        <f t="shared" si="2"/>
        <v>1303.4666666666667</v>
      </c>
      <c r="D5" s="2">
        <f t="shared" si="3"/>
        <v>32.586666666666666</v>
      </c>
      <c r="E5" s="1">
        <v>694</v>
      </c>
      <c r="F5" s="1">
        <v>3373</v>
      </c>
      <c r="G5" s="3">
        <f t="shared" si="4"/>
        <v>2.340862</v>
      </c>
      <c r="H5" s="4">
        <f t="shared" si="7"/>
        <v>0.85051923760418069</v>
      </c>
      <c r="I5" s="3">
        <f t="shared" si="5"/>
        <v>7.1727826608691121</v>
      </c>
      <c r="J5" s="3">
        <f t="shared" si="0"/>
        <v>4.6817240000000003E-2</v>
      </c>
      <c r="M5" s="1">
        <v>950</v>
      </c>
      <c r="N5">
        <f t="shared" si="6"/>
        <v>1222</v>
      </c>
    </row>
    <row r="6" spans="1:14" x14ac:dyDescent="0.35">
      <c r="A6" s="1">
        <v>5</v>
      </c>
      <c r="B6">
        <f t="shared" si="1"/>
        <v>1254</v>
      </c>
      <c r="C6" s="2">
        <f t="shared" si="2"/>
        <v>1337.6</v>
      </c>
      <c r="D6" s="2">
        <f t="shared" si="3"/>
        <v>33.44</v>
      </c>
      <c r="E6" s="1">
        <v>720</v>
      </c>
      <c r="F6" s="1">
        <v>3623</v>
      </c>
      <c r="G6" s="3">
        <f t="shared" si="4"/>
        <v>2.6085600000000002</v>
      </c>
      <c r="H6" s="4">
        <f t="shared" si="7"/>
        <v>0.95879834494090421</v>
      </c>
      <c r="I6" s="3">
        <f t="shared" si="5"/>
        <v>7.1986322423304374</v>
      </c>
      <c r="J6" s="3">
        <f t="shared" si="0"/>
        <v>5.2171200000000008E-2</v>
      </c>
      <c r="M6" s="1">
        <v>982</v>
      </c>
      <c r="N6">
        <f t="shared" si="6"/>
        <v>1254</v>
      </c>
    </row>
    <row r="7" spans="1:14" x14ac:dyDescent="0.35">
      <c r="A7" s="1">
        <v>6</v>
      </c>
      <c r="B7">
        <f t="shared" si="1"/>
        <v>1289</v>
      </c>
      <c r="C7" s="2">
        <f t="shared" si="2"/>
        <v>1374.9333333333334</v>
      </c>
      <c r="D7" s="2">
        <f t="shared" si="3"/>
        <v>34.373333333333335</v>
      </c>
      <c r="E7" s="1">
        <v>755</v>
      </c>
      <c r="F7" s="1">
        <v>4006</v>
      </c>
      <c r="G7" s="3">
        <f t="shared" si="4"/>
        <v>3.0245299999999999</v>
      </c>
      <c r="H7" s="4">
        <f t="shared" si="7"/>
        <v>1.1067557075105141</v>
      </c>
      <c r="I7" s="3">
        <f t="shared" si="5"/>
        <v>7.226160524076759</v>
      </c>
      <c r="J7" s="3">
        <f t="shared" si="0"/>
        <v>6.0490599999999999E-2</v>
      </c>
      <c r="M7" s="1">
        <v>1017</v>
      </c>
      <c r="N7">
        <f t="shared" si="6"/>
        <v>1289</v>
      </c>
    </row>
    <row r="8" spans="1:14" x14ac:dyDescent="0.35">
      <c r="A8" s="1">
        <v>7</v>
      </c>
      <c r="B8">
        <f t="shared" si="1"/>
        <v>1304</v>
      </c>
      <c r="C8" s="2">
        <f t="shared" si="2"/>
        <v>1390.9333333333334</v>
      </c>
      <c r="D8" s="2">
        <f t="shared" si="3"/>
        <v>34.773333333333333</v>
      </c>
      <c r="E8" s="1">
        <v>772</v>
      </c>
      <c r="F8" s="1">
        <v>4200</v>
      </c>
      <c r="G8" s="3">
        <f t="shared" si="4"/>
        <v>3.2423999999999999</v>
      </c>
      <c r="H8" s="4">
        <f t="shared" si="7"/>
        <v>1.1763137963319616</v>
      </c>
      <c r="I8" s="3">
        <f t="shared" si="5"/>
        <v>7.2377302636241696</v>
      </c>
      <c r="J8" s="3">
        <f t="shared" si="0"/>
        <v>6.4848000000000003E-2</v>
      </c>
      <c r="M8" s="1">
        <v>1032</v>
      </c>
      <c r="N8">
        <f t="shared" si="6"/>
        <v>1304</v>
      </c>
    </row>
    <row r="9" spans="1:14" x14ac:dyDescent="0.35">
      <c r="A9" s="1">
        <v>8</v>
      </c>
      <c r="B9">
        <f t="shared" si="1"/>
        <v>1341</v>
      </c>
      <c r="C9" s="2">
        <f t="shared" si="2"/>
        <v>1430.4</v>
      </c>
      <c r="D9" s="2">
        <f t="shared" si="3"/>
        <v>35.760000000000005</v>
      </c>
      <c r="E9" s="1">
        <v>798</v>
      </c>
      <c r="F9" s="1">
        <v>4476</v>
      </c>
      <c r="G9" s="3">
        <f t="shared" si="4"/>
        <v>3.5718480000000001</v>
      </c>
      <c r="H9" s="4">
        <f t="shared" si="7"/>
        <v>1.2730831089173507</v>
      </c>
      <c r="I9" s="3">
        <f t="shared" si="5"/>
        <v>7.2657094044192494</v>
      </c>
      <c r="J9" s="3">
        <f t="shared" si="0"/>
        <v>7.1436960000000008E-2</v>
      </c>
      <c r="M9" s="1">
        <v>1069</v>
      </c>
      <c r="N9">
        <f t="shared" si="6"/>
        <v>1341</v>
      </c>
    </row>
    <row r="10" spans="1:14" x14ac:dyDescent="0.35">
      <c r="A10" s="1">
        <v>9</v>
      </c>
      <c r="B10">
        <f t="shared" si="1"/>
        <v>1419</v>
      </c>
      <c r="C10" s="2">
        <f t="shared" si="2"/>
        <v>1513.6</v>
      </c>
      <c r="D10" s="2">
        <f t="shared" si="3"/>
        <v>37.839999999999996</v>
      </c>
      <c r="E10" s="1">
        <v>835</v>
      </c>
      <c r="F10" s="1">
        <v>4924</v>
      </c>
      <c r="G10" s="3">
        <f t="shared" si="4"/>
        <v>4.1115399999999998</v>
      </c>
      <c r="H10" s="4">
        <f t="shared" si="7"/>
        <v>1.4137976541909254</v>
      </c>
      <c r="I10" s="3">
        <f t="shared" si="5"/>
        <v>7.3222461982976137</v>
      </c>
      <c r="J10" s="3">
        <f t="shared" si="0"/>
        <v>8.2230799999999993E-2</v>
      </c>
      <c r="M10" s="1">
        <v>1147</v>
      </c>
      <c r="N10">
        <f t="shared" si="6"/>
        <v>1419</v>
      </c>
    </row>
    <row r="11" spans="1:14" x14ac:dyDescent="0.35">
      <c r="A11" s="1">
        <v>10</v>
      </c>
      <c r="B11">
        <f t="shared" si="1"/>
        <v>1479</v>
      </c>
      <c r="C11" s="2">
        <f t="shared" si="2"/>
        <v>1577.6</v>
      </c>
      <c r="D11" s="2">
        <f t="shared" si="3"/>
        <v>39.44</v>
      </c>
      <c r="E11" s="1">
        <v>898</v>
      </c>
      <c r="F11" s="1">
        <v>5668</v>
      </c>
      <c r="G11" s="3">
        <f t="shared" si="4"/>
        <v>5.0898640000000004</v>
      </c>
      <c r="H11" s="4">
        <f t="shared" si="7"/>
        <v>1.6272511111484966</v>
      </c>
      <c r="I11" s="3">
        <f t="shared" si="5"/>
        <v>7.3636599838483709</v>
      </c>
      <c r="J11" s="3">
        <f t="shared" si="0"/>
        <v>0.10179728</v>
      </c>
      <c r="M11" s="1">
        <v>1207</v>
      </c>
      <c r="N11">
        <f t="shared" si="6"/>
        <v>1479</v>
      </c>
    </row>
    <row r="12" spans="1:14" x14ac:dyDescent="0.35">
      <c r="A12" s="1">
        <v>11</v>
      </c>
      <c r="B12">
        <f t="shared" si="1"/>
        <v>1595</v>
      </c>
      <c r="C12" s="2">
        <f t="shared" si="2"/>
        <v>1701.3333333333333</v>
      </c>
      <c r="D12" s="2">
        <f t="shared" si="3"/>
        <v>42.533333333333331</v>
      </c>
      <c r="E12" s="1">
        <v>997</v>
      </c>
      <c r="F12" s="1">
        <v>6949</v>
      </c>
      <c r="G12" s="3">
        <f t="shared" si="4"/>
        <v>6.928153</v>
      </c>
      <c r="H12" s="4">
        <f t="shared" si="7"/>
        <v>1.9355932553118915</v>
      </c>
      <c r="I12" s="3">
        <f t="shared" si="5"/>
        <v>7.439167536356516</v>
      </c>
      <c r="J12" s="3">
        <f t="shared" si="0"/>
        <v>0.13856306000000002</v>
      </c>
      <c r="M12" s="1">
        <v>1323</v>
      </c>
      <c r="N12">
        <f t="shared" si="6"/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Васильев</dc:creator>
  <cp:lastModifiedBy>Михаил Васильев</cp:lastModifiedBy>
  <dcterms:created xsi:type="dcterms:W3CDTF">2021-11-23T22:35:01Z</dcterms:created>
  <dcterms:modified xsi:type="dcterms:W3CDTF">2021-11-24T09:08:58Z</dcterms:modified>
</cp:coreProperties>
</file>