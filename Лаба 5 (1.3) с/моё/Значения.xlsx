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kle\Desktop\5 сем\лабы\Лаба 5 (1.3)\"/>
    </mc:Choice>
  </mc:AlternateContent>
  <bookViews>
    <workbookView xWindow="0" yWindow="0" windowWidth="14380" windowHeight="486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2" i="1" l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R13" i="1"/>
  <c r="R12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11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4" i="1"/>
  <c r="U64" i="1"/>
  <c r="U63" i="1"/>
  <c r="U62" i="1"/>
  <c r="U61" i="1"/>
  <c r="U60" i="1"/>
  <c r="U59" i="1"/>
  <c r="U58" i="1"/>
  <c r="U57" i="1"/>
  <c r="U56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4" i="1"/>
  <c r="O62" i="1"/>
  <c r="O61" i="1"/>
  <c r="O59" i="1"/>
  <c r="O58" i="1"/>
  <c r="O57" i="1"/>
  <c r="O56" i="1"/>
  <c r="O55" i="1"/>
  <c r="O54" i="1"/>
  <c r="O53" i="1"/>
  <c r="O52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V62" i="1"/>
  <c r="V60" i="1"/>
  <c r="V59" i="1"/>
  <c r="V58" i="1"/>
  <c r="V57" i="1"/>
  <c r="V56" i="1"/>
  <c r="V55" i="1"/>
  <c r="V54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19" i="1"/>
  <c r="V18" i="1"/>
  <c r="V17" i="1"/>
  <c r="V16" i="1"/>
  <c r="V15" i="1"/>
  <c r="V14" i="1"/>
  <c r="V13" i="1"/>
  <c r="V12" i="1"/>
  <c r="V11" i="1"/>
  <c r="V10" i="1"/>
  <c r="V64" i="1"/>
  <c r="V63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22" i="1"/>
  <c r="V21" i="1"/>
  <c r="V20" i="1"/>
  <c r="V9" i="1"/>
  <c r="V8" i="1"/>
  <c r="V7" i="1"/>
  <c r="V6" i="1"/>
  <c r="V5" i="1"/>
  <c r="V4" i="1"/>
  <c r="P62" i="1"/>
  <c r="P61" i="1"/>
  <c r="P60" i="1"/>
  <c r="P59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9" i="1"/>
  <c r="P8" i="1"/>
  <c r="P7" i="1"/>
  <c r="P6" i="1"/>
  <c r="P5" i="1"/>
  <c r="P4" i="1"/>
  <c r="L40" i="1" l="1"/>
  <c r="K40" i="1"/>
  <c r="L39" i="1"/>
  <c r="L38" i="1"/>
  <c r="K38" i="1"/>
  <c r="L37" i="1"/>
  <c r="K37" i="1"/>
  <c r="L36" i="1"/>
  <c r="K36" i="1"/>
  <c r="L35" i="1"/>
  <c r="K35" i="1"/>
  <c r="L34" i="1"/>
  <c r="K34" i="1"/>
  <c r="K33" i="1"/>
  <c r="L32" i="1"/>
  <c r="K32" i="1"/>
  <c r="L30" i="1"/>
  <c r="K30" i="1"/>
  <c r="L29" i="1"/>
  <c r="K29" i="1"/>
  <c r="K28" i="1"/>
  <c r="L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H21" i="1"/>
  <c r="I20" i="1"/>
  <c r="H20" i="1"/>
  <c r="I19" i="1"/>
  <c r="H19" i="1"/>
  <c r="I18" i="1"/>
  <c r="H18" i="1"/>
  <c r="I17" i="1"/>
  <c r="H17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7" i="1"/>
  <c r="H6" i="1"/>
  <c r="H5" i="1"/>
  <c r="H4" i="1"/>
  <c r="H3" i="1"/>
  <c r="H2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A45" i="1"/>
  <c r="B46" i="1"/>
  <c r="A46" i="1"/>
  <c r="B45" i="1"/>
  <c r="B44" i="1"/>
  <c r="A44" i="1"/>
  <c r="B43" i="1"/>
  <c r="A43" i="1"/>
  <c r="B42" i="1"/>
  <c r="A42" i="1"/>
  <c r="B41" i="1"/>
  <c r="A41" i="1"/>
  <c r="B40" i="1"/>
  <c r="A40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A19" i="1"/>
  <c r="B19" i="1"/>
  <c r="A11" i="1"/>
  <c r="B18" i="1"/>
  <c r="A18" i="1"/>
  <c r="B17" i="1"/>
  <c r="A17" i="1"/>
  <c r="B16" i="1"/>
  <c r="A16" i="1"/>
  <c r="A15" i="1"/>
  <c r="B15" i="1"/>
  <c r="B14" i="1"/>
  <c r="A14" i="1"/>
  <c r="B13" i="1"/>
  <c r="A13" i="1"/>
  <c r="B12" i="1"/>
  <c r="A12" i="1"/>
  <c r="B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A2" i="1"/>
  <c r="B2" i="1"/>
</calcChain>
</file>

<file path=xl/sharedStrings.xml><?xml version="1.0" encoding="utf-8"?>
<sst xmlns="http://schemas.openxmlformats.org/spreadsheetml/2006/main" count="20" uniqueCount="9">
  <si>
    <t>I_a</t>
  </si>
  <si>
    <t>V_c</t>
  </si>
  <si>
    <t>V, В</t>
  </si>
  <si>
    <t>I, мкА</t>
  </si>
  <si>
    <t>Vi, мВ</t>
  </si>
  <si>
    <t>ω</t>
  </si>
  <si>
    <t>ВАХ и ω при Uн = 2.89</t>
  </si>
  <si>
    <t>ВАХ и ω при Uн = 2.63</t>
  </si>
  <si>
    <t>∆ω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</si>
</sst>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2" xfId="0" applyFont="1" applyFill="1" applyBorder="1"/>
    <xf numFmtId="0" fontId="1" fillId="0" borderId="1" xfId="0" applyFont="1" applyFill="1" applyBorder="1"/>
    <xf numFmtId="0" fontId="1" fillId="0" borderId="2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tabSelected="1" topLeftCell="J1" workbookViewId="0">
      <selection activeCell="AA51" sqref="AA51"/>
    </sheetView>
  </sheetViews>
  <sheetFormatPr defaultRowHeight="14.5" x14ac:dyDescent="0.35"/>
  <cols>
    <col min="1" max="1" width="10.90625" customWidth="1"/>
    <col min="2" max="2" width="10.36328125" customWidth="1"/>
  </cols>
  <sheetData>
    <row r="1" spans="1:25" x14ac:dyDescent="0.35">
      <c r="A1" t="s">
        <v>1</v>
      </c>
      <c r="B1" t="s">
        <v>0</v>
      </c>
      <c r="C1" t="s">
        <v>1</v>
      </c>
      <c r="D1" t="s">
        <v>0</v>
      </c>
      <c r="H1" t="s">
        <v>1</v>
      </c>
      <c r="I1" t="s">
        <v>0</v>
      </c>
      <c r="K1" t="s">
        <v>1</v>
      </c>
      <c r="L1" t="s">
        <v>0</v>
      </c>
      <c r="O1" s="4" t="s">
        <v>7</v>
      </c>
      <c r="P1" s="4"/>
      <c r="Q1" s="4"/>
      <c r="R1" s="4"/>
      <c r="S1" s="4"/>
      <c r="U1" s="4" t="s">
        <v>6</v>
      </c>
      <c r="V1" s="4"/>
      <c r="W1" s="4"/>
      <c r="X1" s="4"/>
      <c r="Y1" s="4"/>
    </row>
    <row r="2" spans="1:25" x14ac:dyDescent="0.35">
      <c r="A2">
        <f>0.32</f>
        <v>0.32</v>
      </c>
      <c r="B2">
        <f>0</f>
        <v>0</v>
      </c>
      <c r="C2">
        <f>9.01</f>
        <v>9.01</v>
      </c>
      <c r="D2">
        <f>16.5</f>
        <v>16.5</v>
      </c>
      <c r="H2">
        <f>0.3</f>
        <v>0.3</v>
      </c>
      <c r="I2">
        <v>0</v>
      </c>
      <c r="K2">
        <f>2.12</f>
        <v>2.12</v>
      </c>
      <c r="L2">
        <f>0</f>
        <v>0</v>
      </c>
      <c r="O2" s="4"/>
      <c r="P2" s="4"/>
      <c r="Q2" s="4"/>
      <c r="R2" s="4"/>
      <c r="S2" s="4"/>
      <c r="U2" s="4"/>
      <c r="V2" s="4"/>
      <c r="W2" s="4"/>
      <c r="X2" s="4"/>
      <c r="Y2" s="4"/>
    </row>
    <row r="3" spans="1:25" x14ac:dyDescent="0.35">
      <c r="A3">
        <f>0.6</f>
        <v>0.6</v>
      </c>
      <c r="B3">
        <f>0</f>
        <v>0</v>
      </c>
      <c r="C3">
        <f>9.16</f>
        <v>9.16</v>
      </c>
      <c r="D3">
        <f>16.8</f>
        <v>16.8</v>
      </c>
      <c r="H3">
        <f>0.6</f>
        <v>0.6</v>
      </c>
      <c r="I3">
        <v>0</v>
      </c>
      <c r="K3">
        <f>2.21</f>
        <v>2.21</v>
      </c>
      <c r="L3">
        <f>0.1</f>
        <v>0.1</v>
      </c>
      <c r="O3" s="3" t="s">
        <v>4</v>
      </c>
      <c r="P3" s="3" t="s">
        <v>2</v>
      </c>
      <c r="Q3" s="3" t="s">
        <v>3</v>
      </c>
      <c r="R3" s="5" t="s">
        <v>5</v>
      </c>
      <c r="S3" s="6" t="s">
        <v>8</v>
      </c>
      <c r="U3" s="3" t="s">
        <v>4</v>
      </c>
      <c r="V3" s="3" t="s">
        <v>2</v>
      </c>
      <c r="W3" s="3" t="s">
        <v>3</v>
      </c>
      <c r="X3" s="5" t="s">
        <v>5</v>
      </c>
      <c r="Y3" s="7" t="s">
        <v>8</v>
      </c>
    </row>
    <row r="4" spans="1:25" x14ac:dyDescent="0.35">
      <c r="A4">
        <f>0.9</f>
        <v>0.9</v>
      </c>
      <c r="B4">
        <f>0</f>
        <v>0</v>
      </c>
      <c r="C4">
        <f>9.25</f>
        <v>9.25</v>
      </c>
      <c r="D4">
        <f>15.9</f>
        <v>15.9</v>
      </c>
      <c r="H4">
        <f>0.9</f>
        <v>0.9</v>
      </c>
      <c r="I4">
        <v>0</v>
      </c>
      <c r="K4">
        <f>2.33</f>
        <v>2.33</v>
      </c>
      <c r="L4">
        <f>0.7</f>
        <v>0.7</v>
      </c>
      <c r="O4" s="1">
        <f>0</f>
        <v>0</v>
      </c>
      <c r="P4" s="1">
        <f>0.32</f>
        <v>0.32</v>
      </c>
      <c r="Q4" s="1">
        <f>O4 * 10</f>
        <v>0</v>
      </c>
      <c r="R4" s="1">
        <v>1</v>
      </c>
      <c r="S4" s="1">
        <v>0</v>
      </c>
      <c r="U4" s="1">
        <v>0</v>
      </c>
      <c r="V4" s="1">
        <f>0.3</f>
        <v>0.3</v>
      </c>
      <c r="W4" s="1">
        <f>U4*10</f>
        <v>0</v>
      </c>
      <c r="X4" s="1">
        <v>1</v>
      </c>
      <c r="Y4" s="6">
        <v>0</v>
      </c>
    </row>
    <row r="5" spans="1:25" x14ac:dyDescent="0.35">
      <c r="A5">
        <f>1.2</f>
        <v>1.2</v>
      </c>
      <c r="B5">
        <f>0</f>
        <v>0</v>
      </c>
      <c r="C5">
        <f>9.32</f>
        <v>9.32</v>
      </c>
      <c r="D5">
        <f>15.7</f>
        <v>15.7</v>
      </c>
      <c r="H5">
        <f>1.2</f>
        <v>1.2</v>
      </c>
      <c r="I5">
        <v>0</v>
      </c>
      <c r="K5">
        <f>2.44</f>
        <v>2.44</v>
      </c>
      <c r="L5">
        <f>2.5</f>
        <v>2.5</v>
      </c>
      <c r="O5" s="1">
        <f>0</f>
        <v>0</v>
      </c>
      <c r="P5" s="1">
        <f>0.6</f>
        <v>0.6</v>
      </c>
      <c r="Q5" s="1">
        <f t="shared" ref="Q5:Q62" si="0">O5 * 10</f>
        <v>0</v>
      </c>
      <c r="R5" s="1">
        <v>1</v>
      </c>
      <c r="S5" s="1">
        <v>0</v>
      </c>
      <c r="U5" s="1">
        <v>0</v>
      </c>
      <c r="V5" s="1">
        <f>0.6</f>
        <v>0.6</v>
      </c>
      <c r="W5" s="1">
        <f t="shared" ref="W5:W64" si="1">U5*10</f>
        <v>0</v>
      </c>
      <c r="X5" s="1">
        <v>1</v>
      </c>
      <c r="Y5" s="6">
        <v>0</v>
      </c>
    </row>
    <row r="6" spans="1:25" x14ac:dyDescent="0.35">
      <c r="A6">
        <f>1.5</f>
        <v>1.5</v>
      </c>
      <c r="B6">
        <f>0</f>
        <v>0</v>
      </c>
      <c r="C6">
        <f>9.46</f>
        <v>9.4600000000000009</v>
      </c>
      <c r="D6">
        <f>15.6</f>
        <v>15.6</v>
      </c>
      <c r="H6">
        <f>1.5</f>
        <v>1.5</v>
      </c>
      <c r="I6">
        <v>0</v>
      </c>
      <c r="K6">
        <f>2.51</f>
        <v>2.5099999999999998</v>
      </c>
      <c r="L6">
        <f>5.8</f>
        <v>5.8</v>
      </c>
      <c r="O6" s="1">
        <f>0</f>
        <v>0</v>
      </c>
      <c r="P6" s="1">
        <f>0.9</f>
        <v>0.9</v>
      </c>
      <c r="Q6" s="1">
        <f t="shared" si="0"/>
        <v>0</v>
      </c>
      <c r="R6" s="1">
        <v>1</v>
      </c>
      <c r="S6" s="1">
        <v>0</v>
      </c>
      <c r="U6" s="1">
        <v>0</v>
      </c>
      <c r="V6" s="1">
        <f>0.9</f>
        <v>0.9</v>
      </c>
      <c r="W6" s="1">
        <f t="shared" si="1"/>
        <v>0</v>
      </c>
      <c r="X6" s="1">
        <v>1</v>
      </c>
      <c r="Y6" s="6">
        <v>0</v>
      </c>
    </row>
    <row r="7" spans="1:25" x14ac:dyDescent="0.35">
      <c r="A7">
        <f>1.8</f>
        <v>1.8</v>
      </c>
      <c r="B7">
        <f>0</f>
        <v>0</v>
      </c>
      <c r="C7">
        <f>9.59</f>
        <v>9.59</v>
      </c>
      <c r="D7">
        <f>15.4</f>
        <v>15.4</v>
      </c>
      <c r="H7">
        <f>1.8</f>
        <v>1.8</v>
      </c>
      <c r="I7">
        <v>0</v>
      </c>
      <c r="K7">
        <f>2.62</f>
        <v>2.62</v>
      </c>
      <c r="L7">
        <f>12.7</f>
        <v>12.7</v>
      </c>
      <c r="O7" s="1">
        <f>0</f>
        <v>0</v>
      </c>
      <c r="P7" s="1">
        <f>1.2</f>
        <v>1.2</v>
      </c>
      <c r="Q7" s="1">
        <f t="shared" si="0"/>
        <v>0</v>
      </c>
      <c r="R7" s="1">
        <v>1</v>
      </c>
      <c r="S7" s="1">
        <v>0</v>
      </c>
      <c r="U7" s="1">
        <v>0</v>
      </c>
      <c r="V7" s="1">
        <f>1.2</f>
        <v>1.2</v>
      </c>
      <c r="W7" s="1">
        <f t="shared" si="1"/>
        <v>0</v>
      </c>
      <c r="X7" s="1">
        <v>1</v>
      </c>
      <c r="Y7" s="6">
        <v>0</v>
      </c>
    </row>
    <row r="8" spans="1:25" x14ac:dyDescent="0.35">
      <c r="A8">
        <f>2.1</f>
        <v>2.1</v>
      </c>
      <c r="B8">
        <f>0</f>
        <v>0</v>
      </c>
      <c r="C8">
        <f>9.69</f>
        <v>9.69</v>
      </c>
      <c r="D8">
        <f>15.3</f>
        <v>15.3</v>
      </c>
      <c r="H8">
        <v>2.12</v>
      </c>
      <c r="I8">
        <v>0</v>
      </c>
      <c r="K8">
        <f>2.73</f>
        <v>2.73</v>
      </c>
      <c r="L8">
        <f>21.6</f>
        <v>21.6</v>
      </c>
      <c r="O8" s="1">
        <f>0</f>
        <v>0</v>
      </c>
      <c r="P8" s="1">
        <f>1.5</f>
        <v>1.5</v>
      </c>
      <c r="Q8" s="1">
        <f t="shared" si="0"/>
        <v>0</v>
      </c>
      <c r="R8" s="1">
        <v>1</v>
      </c>
      <c r="S8" s="1">
        <v>0</v>
      </c>
      <c r="U8" s="1">
        <v>0</v>
      </c>
      <c r="V8" s="1">
        <f>1.5</f>
        <v>1.5</v>
      </c>
      <c r="W8" s="1">
        <f t="shared" si="1"/>
        <v>0</v>
      </c>
      <c r="X8" s="1">
        <v>1</v>
      </c>
      <c r="Y8" s="6">
        <v>0</v>
      </c>
    </row>
    <row r="9" spans="1:25" x14ac:dyDescent="0.35">
      <c r="A9">
        <f>2.39</f>
        <v>2.39</v>
      </c>
      <c r="B9">
        <f>0.29</f>
        <v>0.28999999999999998</v>
      </c>
      <c r="C9">
        <f>9.88</f>
        <v>9.8800000000000008</v>
      </c>
      <c r="D9">
        <f>15</f>
        <v>15</v>
      </c>
      <c r="H9">
        <v>2.4</v>
      </c>
      <c r="I9">
        <f>1.4</f>
        <v>1.4</v>
      </c>
      <c r="K9">
        <f>2.81</f>
        <v>2.81</v>
      </c>
      <c r="L9">
        <f>29.2</f>
        <v>29.2</v>
      </c>
      <c r="O9" s="1">
        <f>0</f>
        <v>0</v>
      </c>
      <c r="P9" s="1">
        <f>1.8</f>
        <v>1.8</v>
      </c>
      <c r="Q9" s="1">
        <f t="shared" si="0"/>
        <v>0</v>
      </c>
      <c r="R9" s="1">
        <v>1</v>
      </c>
      <c r="S9" s="1">
        <v>0</v>
      </c>
      <c r="U9" s="1">
        <v>0</v>
      </c>
      <c r="V9" s="1">
        <f>1.8</f>
        <v>1.8</v>
      </c>
      <c r="W9" s="1">
        <f t="shared" si="1"/>
        <v>0</v>
      </c>
      <c r="X9" s="1">
        <v>1</v>
      </c>
      <c r="Y9" s="6">
        <v>0</v>
      </c>
    </row>
    <row r="10" spans="1:25" x14ac:dyDescent="0.35">
      <c r="A10">
        <f>2.71</f>
        <v>2.71</v>
      </c>
      <c r="B10">
        <f>9.3</f>
        <v>9.3000000000000007</v>
      </c>
      <c r="C10">
        <f>10</f>
        <v>10</v>
      </c>
      <c r="D10">
        <f>14.8</f>
        <v>14.8</v>
      </c>
      <c r="H10">
        <f>2.69</f>
        <v>2.69</v>
      </c>
      <c r="I10">
        <f>16.1</f>
        <v>16.100000000000001</v>
      </c>
      <c r="K10">
        <f>2.91</f>
        <v>2.91</v>
      </c>
      <c r="L10">
        <f>38.8</f>
        <v>38.799999999999997</v>
      </c>
      <c r="O10" s="1">
        <f>0</f>
        <v>0</v>
      </c>
      <c r="P10" s="1">
        <f>2.2</f>
        <v>2.2000000000000002</v>
      </c>
      <c r="Q10" s="1">
        <f t="shared" si="0"/>
        <v>0</v>
      </c>
      <c r="R10" s="1">
        <v>1</v>
      </c>
      <c r="S10" s="1">
        <v>0</v>
      </c>
      <c r="T10" s="2"/>
      <c r="U10" s="1">
        <f>0</f>
        <v>0</v>
      </c>
      <c r="V10" s="1">
        <f>2.12</f>
        <v>2.12</v>
      </c>
      <c r="W10" s="1">
        <f t="shared" si="1"/>
        <v>0</v>
      </c>
      <c r="X10" s="1">
        <v>1</v>
      </c>
      <c r="Y10" s="6">
        <v>0</v>
      </c>
    </row>
    <row r="11" spans="1:25" x14ac:dyDescent="0.35">
      <c r="A11">
        <f>3.3</f>
        <v>3.3</v>
      </c>
      <c r="B11">
        <f>27.6</f>
        <v>27.6</v>
      </c>
      <c r="C11">
        <f>10.11</f>
        <v>10.11</v>
      </c>
      <c r="D11">
        <v>14.7</v>
      </c>
      <c r="H11">
        <f>2.91</f>
        <v>2.91</v>
      </c>
      <c r="I11">
        <f>36.2</f>
        <v>36.200000000000003</v>
      </c>
      <c r="K11">
        <f>3.04</f>
        <v>3.04</v>
      </c>
      <c r="L11">
        <f>48.3</f>
        <v>48.3</v>
      </c>
      <c r="O11" s="1">
        <f>0</f>
        <v>0</v>
      </c>
      <c r="P11" s="1">
        <f>2.29</f>
        <v>2.29</v>
      </c>
      <c r="Q11" s="1">
        <f t="shared" si="0"/>
        <v>0</v>
      </c>
      <c r="R11" s="1">
        <v>1</v>
      </c>
      <c r="S11" s="1">
        <v>0</v>
      </c>
      <c r="T11" s="2"/>
      <c r="U11" s="1">
        <f>0.1</f>
        <v>0.1</v>
      </c>
      <c r="V11" s="1">
        <f>2.21</f>
        <v>2.21</v>
      </c>
      <c r="W11" s="1">
        <f t="shared" si="1"/>
        <v>1</v>
      </c>
      <c r="X11" s="1">
        <f>LN(W11 / 711) / -6.57</f>
        <v>0.999493520517997</v>
      </c>
      <c r="Y11" s="1">
        <f>0.01 * (R12 + 2 * R12 * R12)</f>
        <v>2.9633037426523783E-2</v>
      </c>
    </row>
    <row r="12" spans="1:25" x14ac:dyDescent="0.35">
      <c r="A12">
        <f>3.33</f>
        <v>3.33</v>
      </c>
      <c r="B12">
        <f>33.9</f>
        <v>33.9</v>
      </c>
      <c r="C12">
        <f>10.2</f>
        <v>10.199999999999999</v>
      </c>
      <c r="D12">
        <f>14.7</f>
        <v>14.7</v>
      </c>
      <c r="H12">
        <f>3.23</f>
        <v>3.23</v>
      </c>
      <c r="I12">
        <f>53.6</f>
        <v>53.6</v>
      </c>
      <c r="O12" s="1">
        <f>0.53</f>
        <v>0.53</v>
      </c>
      <c r="P12" s="1">
        <f>2.42</f>
        <v>2.42</v>
      </c>
      <c r="Q12" s="1">
        <f t="shared" si="0"/>
        <v>5.3000000000000007</v>
      </c>
      <c r="R12" s="1">
        <f>LN(Q12 / 371) / -4.28</f>
        <v>0.99263907524517714</v>
      </c>
      <c r="S12" s="1">
        <f>0.01 * (R12 + 2 * R12 * R12)</f>
        <v>2.9633037426523783E-2</v>
      </c>
      <c r="T12" s="2"/>
      <c r="U12" s="1">
        <f>0.7</f>
        <v>0.7</v>
      </c>
      <c r="V12" s="1">
        <f>2.33</f>
        <v>2.33</v>
      </c>
      <c r="W12" s="1">
        <f t="shared" si="1"/>
        <v>7</v>
      </c>
      <c r="X12" s="1">
        <f t="shared" ref="X12:X64" si="2">LN(W12 / 711) / -6.57</f>
        <v>0.70331237149892345</v>
      </c>
      <c r="Y12" s="1">
        <f t="shared" ref="Y12:Y64" si="3">0.01 * (R13 + 2 * R13 * R13)</f>
        <v>1.9382443149599988E-2</v>
      </c>
    </row>
    <row r="13" spans="1:25" x14ac:dyDescent="0.35">
      <c r="A13">
        <f>3.61</f>
        <v>3.61</v>
      </c>
      <c r="B13">
        <f>33.6</f>
        <v>33.6</v>
      </c>
      <c r="C13">
        <f>10.34</f>
        <v>10.34</v>
      </c>
      <c r="D13">
        <f>14.7</f>
        <v>14.7</v>
      </c>
      <c r="H13">
        <f>3.51</f>
        <v>3.51</v>
      </c>
      <c r="I13">
        <f>55.6</f>
        <v>55.6</v>
      </c>
      <c r="K13">
        <f>4.02</f>
        <v>4.0199999999999996</v>
      </c>
      <c r="L13">
        <f>64.9</f>
        <v>64.900000000000006</v>
      </c>
      <c r="O13" s="1">
        <f>1.4</f>
        <v>1.4</v>
      </c>
      <c r="P13" s="1">
        <f>2.51</f>
        <v>2.5099999999999998</v>
      </c>
      <c r="Q13" s="1">
        <f t="shared" si="0"/>
        <v>14</v>
      </c>
      <c r="R13" s="1">
        <f>LN(Q13 / 371) / -4.28</f>
        <v>0.76568802172714401</v>
      </c>
      <c r="S13" s="1">
        <f t="shared" ref="S13:S62" si="4">0.01 * (R13 + 2 * R13 * R13)</f>
        <v>1.9382443149599988E-2</v>
      </c>
      <c r="T13" s="2"/>
      <c r="U13" s="1">
        <f>2.5</f>
        <v>2.5</v>
      </c>
      <c r="V13" s="1">
        <f>2.44</f>
        <v>2.44</v>
      </c>
      <c r="W13" s="1">
        <f t="shared" si="1"/>
        <v>25</v>
      </c>
      <c r="X13" s="1">
        <f t="shared" si="2"/>
        <v>0.50955808294292848</v>
      </c>
      <c r="Y13" s="1">
        <f t="shared" si="3"/>
        <v>9.9440820087779956E-3</v>
      </c>
    </row>
    <row r="14" spans="1:25" x14ac:dyDescent="0.35">
      <c r="A14">
        <f>3.92</f>
        <v>3.92</v>
      </c>
      <c r="B14">
        <f>32.9</f>
        <v>32.9</v>
      </c>
      <c r="C14">
        <f>10.41</f>
        <v>10.41</v>
      </c>
      <c r="D14">
        <f>14.8</f>
        <v>14.8</v>
      </c>
      <c r="H14">
        <f>3.81</f>
        <v>3.81</v>
      </c>
      <c r="I14">
        <f>51.4</f>
        <v>51.4</v>
      </c>
      <c r="K14">
        <f>4.1</f>
        <v>4.0999999999999996</v>
      </c>
      <c r="L14">
        <f>65.7</f>
        <v>65.7</v>
      </c>
      <c r="O14" s="1">
        <f>4.4</f>
        <v>4.4000000000000004</v>
      </c>
      <c r="P14" s="1">
        <f>2.6</f>
        <v>2.6</v>
      </c>
      <c r="Q14" s="1">
        <f t="shared" si="0"/>
        <v>44</v>
      </c>
      <c r="R14" s="1">
        <f t="shared" ref="R13:R62" si="5">LN(Q14 / 371) / -4.28</f>
        <v>0.49813374502083502</v>
      </c>
      <c r="S14" s="1">
        <f t="shared" si="4"/>
        <v>9.9440820087779956E-3</v>
      </c>
      <c r="T14" s="2"/>
      <c r="U14" s="1">
        <f>5.8</f>
        <v>5.8</v>
      </c>
      <c r="V14" s="1">
        <f>2.51</f>
        <v>2.5099999999999998</v>
      </c>
      <c r="W14" s="1">
        <f t="shared" si="1"/>
        <v>58</v>
      </c>
      <c r="X14" s="1">
        <f t="shared" si="2"/>
        <v>0.38146566503147966</v>
      </c>
      <c r="Y14" s="1">
        <f t="shared" si="3"/>
        <v>4.8881209021234559E-3</v>
      </c>
    </row>
    <row r="15" spans="1:25" x14ac:dyDescent="0.35">
      <c r="A15">
        <f>4.22</f>
        <v>4.22</v>
      </c>
      <c r="B15">
        <f>32.3</f>
        <v>32.299999999999997</v>
      </c>
      <c r="C15">
        <f>10.54</f>
        <v>10.54</v>
      </c>
      <c r="D15">
        <f>14.9</f>
        <v>14.9</v>
      </c>
      <c r="H15">
        <f>4.09</f>
        <v>4.09</v>
      </c>
      <c r="I15">
        <f>64</f>
        <v>64</v>
      </c>
      <c r="K15">
        <f>4.21</f>
        <v>4.21</v>
      </c>
      <c r="L15">
        <f>66.6</f>
        <v>66.599999999999994</v>
      </c>
      <c r="O15" s="1">
        <f>10.1</f>
        <v>10.1</v>
      </c>
      <c r="P15" s="1">
        <f>2.71</f>
        <v>2.71</v>
      </c>
      <c r="Q15" s="1">
        <f t="shared" si="0"/>
        <v>101</v>
      </c>
      <c r="R15" s="1">
        <f t="shared" si="5"/>
        <v>0.30399101536592882</v>
      </c>
      <c r="S15" s="1">
        <f t="shared" si="4"/>
        <v>4.8881209021234559E-3</v>
      </c>
      <c r="U15" s="1">
        <f>12.7</f>
        <v>12.7</v>
      </c>
      <c r="V15" s="1">
        <f>2.62</f>
        <v>2.62</v>
      </c>
      <c r="W15" s="1">
        <f t="shared" si="1"/>
        <v>127</v>
      </c>
      <c r="X15" s="1">
        <f t="shared" si="2"/>
        <v>0.26217432927620238</v>
      </c>
      <c r="Y15" s="1">
        <f t="shared" si="3"/>
        <v>2.3949311020363922E-3</v>
      </c>
    </row>
    <row r="16" spans="1:25" x14ac:dyDescent="0.35">
      <c r="A16">
        <f>4.52</f>
        <v>4.5199999999999996</v>
      </c>
      <c r="B16">
        <f>30.6</f>
        <v>30.6</v>
      </c>
      <c r="C16">
        <f>10.65</f>
        <v>10.65</v>
      </c>
      <c r="D16">
        <f>15</f>
        <v>15</v>
      </c>
      <c r="H16">
        <f>4.4</f>
        <v>4.4000000000000004</v>
      </c>
      <c r="I16">
        <v>66.3</v>
      </c>
      <c r="K16">
        <f>4.31</f>
        <v>4.3099999999999996</v>
      </c>
      <c r="L16">
        <f>67.3</f>
        <v>67.3</v>
      </c>
      <c r="O16" s="1">
        <f>17.4</f>
        <v>17.399999999999999</v>
      </c>
      <c r="P16" s="1">
        <f>2.79</f>
        <v>2.79</v>
      </c>
      <c r="Q16" s="1">
        <f t="shared" si="0"/>
        <v>174</v>
      </c>
      <c r="R16" s="1">
        <f t="shared" si="5"/>
        <v>0.17690344939086591</v>
      </c>
      <c r="S16" s="1">
        <f t="shared" si="4"/>
        <v>2.3949311020363922E-3</v>
      </c>
      <c r="U16" s="1">
        <f>21.6</f>
        <v>21.6</v>
      </c>
      <c r="V16" s="1">
        <f>2.73</f>
        <v>2.73</v>
      </c>
      <c r="W16" s="1">
        <f t="shared" si="1"/>
        <v>216</v>
      </c>
      <c r="X16" s="1">
        <f t="shared" si="2"/>
        <v>0.18133851173806328</v>
      </c>
      <c r="Y16" s="1">
        <f t="shared" si="3"/>
        <v>2.0325012116231751E-3</v>
      </c>
    </row>
    <row r="17" spans="1:25" x14ac:dyDescent="0.35">
      <c r="A17">
        <f>4.8</f>
        <v>4.8</v>
      </c>
      <c r="B17">
        <f>29.7</f>
        <v>29.7</v>
      </c>
      <c r="C17">
        <f>10.76</f>
        <v>10.76</v>
      </c>
      <c r="D17">
        <f>15.15</f>
        <v>15.15</v>
      </c>
      <c r="H17">
        <f>4.71</f>
        <v>4.71</v>
      </c>
      <c r="I17">
        <f>67.6</f>
        <v>67.599999999999994</v>
      </c>
      <c r="K17">
        <f>4.45</f>
        <v>4.45</v>
      </c>
      <c r="L17">
        <f>68.4</f>
        <v>68.400000000000006</v>
      </c>
      <c r="O17" s="1">
        <f>19.1</f>
        <v>19.100000000000001</v>
      </c>
      <c r="P17" s="1">
        <f>2.82</f>
        <v>2.82</v>
      </c>
      <c r="Q17" s="1">
        <f t="shared" si="0"/>
        <v>191</v>
      </c>
      <c r="R17" s="1">
        <f t="shared" si="5"/>
        <v>0.15512351274785169</v>
      </c>
      <c r="S17" s="1">
        <f t="shared" si="4"/>
        <v>2.0325012116231751E-3</v>
      </c>
      <c r="U17" s="1">
        <f>29.2</f>
        <v>29.2</v>
      </c>
      <c r="V17" s="1">
        <f>2.81</f>
        <v>2.81</v>
      </c>
      <c r="W17" s="1">
        <f t="shared" si="1"/>
        <v>292</v>
      </c>
      <c r="X17" s="1">
        <f t="shared" si="2"/>
        <v>0.13545184589573198</v>
      </c>
      <c r="Y17" s="1">
        <f t="shared" si="3"/>
        <v>9.0975647696990678E-4</v>
      </c>
    </row>
    <row r="18" spans="1:25" x14ac:dyDescent="0.35">
      <c r="A18">
        <f>5.11</f>
        <v>5.1100000000000003</v>
      </c>
      <c r="B18">
        <f>29.2</f>
        <v>29.2</v>
      </c>
      <c r="C18">
        <f>10.85</f>
        <v>10.85</v>
      </c>
      <c r="D18">
        <f>15.2</f>
        <v>15.2</v>
      </c>
      <c r="H18">
        <f>5.04</f>
        <v>5.04</v>
      </c>
      <c r="I18">
        <f>68.1</f>
        <v>68.099999999999994</v>
      </c>
      <c r="K18">
        <f>4.61</f>
        <v>4.6100000000000003</v>
      </c>
      <c r="L18">
        <f>69.1</f>
        <v>69.099999999999994</v>
      </c>
      <c r="O18" s="1">
        <f>26.5</f>
        <v>26.5</v>
      </c>
      <c r="P18" s="1">
        <f>2.91</f>
        <v>2.91</v>
      </c>
      <c r="Q18" s="1">
        <f t="shared" si="0"/>
        <v>265</v>
      </c>
      <c r="R18" s="1">
        <f t="shared" si="5"/>
        <v>7.8615008556358154E-2</v>
      </c>
      <c r="S18" s="1">
        <f t="shared" si="4"/>
        <v>9.0975647696990678E-4</v>
      </c>
      <c r="U18" s="1">
        <f>38.8</f>
        <v>38.799999999999997</v>
      </c>
      <c r="V18" s="1">
        <f>2.91</f>
        <v>2.91</v>
      </c>
      <c r="W18" s="1">
        <f t="shared" si="1"/>
        <v>388</v>
      </c>
      <c r="X18" s="1">
        <f t="shared" si="2"/>
        <v>9.2186771716890034E-2</v>
      </c>
      <c r="Y18" s="1">
        <f t="shared" si="3"/>
        <v>2.4985989308075497E-4</v>
      </c>
    </row>
    <row r="19" spans="1:25" x14ac:dyDescent="0.35">
      <c r="A19">
        <f>5.41</f>
        <v>5.41</v>
      </c>
      <c r="B19">
        <f>29.1</f>
        <v>29.1</v>
      </c>
      <c r="H19">
        <f>5.31</f>
        <v>5.31</v>
      </c>
      <c r="I19">
        <f>67.8</f>
        <v>67.8</v>
      </c>
      <c r="K19">
        <f>4.71</f>
        <v>4.71</v>
      </c>
      <c r="L19">
        <f>69.5</f>
        <v>69.5</v>
      </c>
      <c r="O19" s="1">
        <f>33.5</f>
        <v>33.5</v>
      </c>
      <c r="P19" s="1">
        <f>3.02</f>
        <v>3.02</v>
      </c>
      <c r="Q19" s="1">
        <f t="shared" si="0"/>
        <v>335</v>
      </c>
      <c r="R19" s="1">
        <f t="shared" si="5"/>
        <v>2.384848850055344E-2</v>
      </c>
      <c r="S19" s="1">
        <f t="shared" si="4"/>
        <v>2.4985989308075497E-4</v>
      </c>
      <c r="U19" s="1">
        <f>48.3</f>
        <v>48.3</v>
      </c>
      <c r="V19" s="1">
        <f>3.04</f>
        <v>3.04</v>
      </c>
      <c r="W19" s="1">
        <f t="shared" si="1"/>
        <v>483</v>
      </c>
      <c r="X19" s="1">
        <f t="shared" si="2"/>
        <v>5.8851716309081911E-2</v>
      </c>
      <c r="Y19" s="1">
        <f t="shared" si="3"/>
        <v>0</v>
      </c>
    </row>
    <row r="20" spans="1:25" x14ac:dyDescent="0.35">
      <c r="A20">
        <f>5.73</f>
        <v>5.73</v>
      </c>
      <c r="B20">
        <f>27.8</f>
        <v>27.8</v>
      </c>
      <c r="H20">
        <f>5.6</f>
        <v>5.6</v>
      </c>
      <c r="I20">
        <f>66.9</f>
        <v>66.900000000000006</v>
      </c>
      <c r="K20">
        <f>4.84</f>
        <v>4.84</v>
      </c>
      <c r="L20">
        <f>69.9</f>
        <v>69.900000000000006</v>
      </c>
      <c r="O20" s="1">
        <f>37.1</f>
        <v>37.1</v>
      </c>
      <c r="P20" s="1">
        <f>3.11</f>
        <v>3.11</v>
      </c>
      <c r="Q20" s="1">
        <f t="shared" si="0"/>
        <v>371</v>
      </c>
      <c r="R20" s="1">
        <f t="shared" si="5"/>
        <v>0</v>
      </c>
      <c r="S20" s="1">
        <f t="shared" si="4"/>
        <v>0</v>
      </c>
      <c r="U20" s="1">
        <f>53.6</f>
        <v>53.6</v>
      </c>
      <c r="V20" s="1">
        <f>3.23</f>
        <v>3.23</v>
      </c>
      <c r="W20" s="1">
        <f t="shared" si="1"/>
        <v>536</v>
      </c>
      <c r="X20" s="1">
        <f t="shared" si="2"/>
        <v>4.3004302699001337E-2</v>
      </c>
      <c r="Y20" s="1">
        <f t="shared" si="3"/>
        <v>-1.1396971027215932E-4</v>
      </c>
    </row>
    <row r="21" spans="1:25" x14ac:dyDescent="0.35">
      <c r="A21">
        <f>6.01</f>
        <v>6.01</v>
      </c>
      <c r="B21">
        <f>26.6</f>
        <v>26.6</v>
      </c>
      <c r="H21">
        <f>5.92</f>
        <v>5.92</v>
      </c>
      <c r="I21">
        <v>55.5</v>
      </c>
      <c r="K21">
        <f>4.93</f>
        <v>4.93</v>
      </c>
      <c r="L21">
        <f>70.2</f>
        <v>70.2</v>
      </c>
      <c r="O21" s="1">
        <f>39</f>
        <v>39</v>
      </c>
      <c r="P21" s="1">
        <f>3.2</f>
        <v>3.2</v>
      </c>
      <c r="Q21" s="1">
        <f t="shared" si="0"/>
        <v>390</v>
      </c>
      <c r="R21" s="1">
        <f t="shared" si="5"/>
        <v>-1.166931694305067E-2</v>
      </c>
      <c r="S21" s="1">
        <f t="shared" si="4"/>
        <v>-1.1396971027215932E-4</v>
      </c>
      <c r="U21" s="1">
        <f>55.6</f>
        <v>55.6</v>
      </c>
      <c r="V21" s="1">
        <f>3.51</f>
        <v>3.51</v>
      </c>
      <c r="W21" s="1">
        <f t="shared" si="1"/>
        <v>556</v>
      </c>
      <c r="X21" s="1">
        <f t="shared" si="2"/>
        <v>3.7428331134346814E-2</v>
      </c>
      <c r="Y21" s="1">
        <f t="shared" si="3"/>
        <v>5.6435160382981595E-4</v>
      </c>
    </row>
    <row r="22" spans="1:25" x14ac:dyDescent="0.35">
      <c r="A22">
        <f>6.31</f>
        <v>6.31</v>
      </c>
      <c r="B22">
        <f>25.4</f>
        <v>25.4</v>
      </c>
      <c r="H22">
        <f>6.13</f>
        <v>6.13</v>
      </c>
      <c r="I22">
        <f>45.3</f>
        <v>45.3</v>
      </c>
      <c r="K22">
        <f>5.01</f>
        <v>5.01</v>
      </c>
      <c r="L22">
        <f>70.5</f>
        <v>70.5</v>
      </c>
      <c r="O22" s="1">
        <f>29.8</f>
        <v>29.8</v>
      </c>
      <c r="P22" s="1">
        <f>3.3</f>
        <v>3.3</v>
      </c>
      <c r="Q22" s="1">
        <f t="shared" si="0"/>
        <v>298</v>
      </c>
      <c r="R22" s="1">
        <f t="shared" si="5"/>
        <v>5.1193592547203425E-2</v>
      </c>
      <c r="S22" s="1">
        <f t="shared" si="4"/>
        <v>5.6435160382981595E-4</v>
      </c>
      <c r="U22" s="1">
        <f>51.4</f>
        <v>51.4</v>
      </c>
      <c r="V22" s="1">
        <f>3.81</f>
        <v>3.81</v>
      </c>
      <c r="W22" s="1">
        <f t="shared" si="1"/>
        <v>514</v>
      </c>
      <c r="X22" s="1">
        <f t="shared" si="2"/>
        <v>4.9383434451761909E-2</v>
      </c>
      <c r="Y22" s="1">
        <f t="shared" si="3"/>
        <v>2.1963553248375238E-4</v>
      </c>
    </row>
    <row r="23" spans="1:25" x14ac:dyDescent="0.35">
      <c r="A23">
        <f>6.65</f>
        <v>6.65</v>
      </c>
      <c r="B23">
        <f>23.9</f>
        <v>23.9</v>
      </c>
      <c r="H23">
        <f>6.52</f>
        <v>6.52</v>
      </c>
      <c r="I23">
        <f>63.2</f>
        <v>63.2</v>
      </c>
      <c r="K23">
        <f>5.11</f>
        <v>5.1100000000000003</v>
      </c>
      <c r="L23">
        <f>71.1</f>
        <v>71.099999999999994</v>
      </c>
      <c r="O23" s="1">
        <f>33.9</f>
        <v>33.9</v>
      </c>
      <c r="P23" s="1">
        <f>3.33</f>
        <v>3.33</v>
      </c>
      <c r="Q23" s="1">
        <f t="shared" si="0"/>
        <v>339</v>
      </c>
      <c r="R23" s="1">
        <f t="shared" si="5"/>
        <v>2.1075223183874957E-2</v>
      </c>
      <c r="S23" s="1">
        <f t="shared" si="4"/>
        <v>2.1963553248375238E-4</v>
      </c>
      <c r="U23" s="1">
        <f>64.9</f>
        <v>64.900000000000006</v>
      </c>
      <c r="V23" s="1">
        <f>4.02</f>
        <v>4.0199999999999996</v>
      </c>
      <c r="W23" s="1">
        <f t="shared" si="1"/>
        <v>649</v>
      </c>
      <c r="X23" s="1">
        <f t="shared" si="2"/>
        <v>1.3887323150555684E-2</v>
      </c>
      <c r="Y23" s="1">
        <f t="shared" si="3"/>
        <v>2.4224117679000627E-4</v>
      </c>
    </row>
    <row r="24" spans="1:25" x14ac:dyDescent="0.35">
      <c r="A24">
        <f>6.9</f>
        <v>6.9</v>
      </c>
      <c r="B24">
        <f>22.9</f>
        <v>22.9</v>
      </c>
      <c r="H24">
        <f>6.81</f>
        <v>6.81</v>
      </c>
      <c r="I24">
        <f>61.1</f>
        <v>61.1</v>
      </c>
      <c r="K24">
        <f>5.22</f>
        <v>5.22</v>
      </c>
      <c r="L24">
        <f>70.4</f>
        <v>70.400000000000006</v>
      </c>
      <c r="O24" s="1">
        <f>33.6</f>
        <v>33.6</v>
      </c>
      <c r="P24" s="1">
        <f>3.61</f>
        <v>3.61</v>
      </c>
      <c r="Q24" s="1">
        <f t="shared" si="0"/>
        <v>336</v>
      </c>
      <c r="R24" s="1">
        <f t="shared" si="5"/>
        <v>2.315208005706329E-2</v>
      </c>
      <c r="S24" s="1">
        <f t="shared" si="4"/>
        <v>2.4224117679000627E-4</v>
      </c>
      <c r="U24" s="1">
        <f>65.7</f>
        <v>65.7</v>
      </c>
      <c r="V24" s="1">
        <f>4.1</f>
        <v>4.0999999999999996</v>
      </c>
      <c r="W24" s="1">
        <f t="shared" si="1"/>
        <v>657</v>
      </c>
      <c r="X24" s="1">
        <f t="shared" si="2"/>
        <v>1.2022589241800658E-2</v>
      </c>
      <c r="Y24" s="1">
        <f t="shared" si="3"/>
        <v>2.9647074308893588E-4</v>
      </c>
    </row>
    <row r="25" spans="1:25" x14ac:dyDescent="0.35">
      <c r="A25">
        <f>7.21</f>
        <v>7.21</v>
      </c>
      <c r="B25">
        <f>21.4</f>
        <v>21.4</v>
      </c>
      <c r="H25">
        <f>7.11</f>
        <v>7.11</v>
      </c>
      <c r="I25">
        <f>58.3</f>
        <v>58.3</v>
      </c>
      <c r="K25">
        <f>5.33</f>
        <v>5.33</v>
      </c>
      <c r="L25">
        <f>70.1</f>
        <v>70.099999999999994</v>
      </c>
      <c r="O25" s="1">
        <f>32.9</f>
        <v>32.9</v>
      </c>
      <c r="P25" s="1">
        <f>3.92</f>
        <v>3.92</v>
      </c>
      <c r="Q25" s="1">
        <f t="shared" si="0"/>
        <v>329</v>
      </c>
      <c r="R25" s="1">
        <f t="shared" si="5"/>
        <v>2.8071100897678319E-2</v>
      </c>
      <c r="S25" s="1">
        <f t="shared" si="4"/>
        <v>2.9647074308893588E-4</v>
      </c>
      <c r="U25" s="1">
        <f>66.6</f>
        <v>66.599999999999994</v>
      </c>
      <c r="V25" s="1">
        <f>4.21</f>
        <v>4.21</v>
      </c>
      <c r="W25" s="1">
        <f t="shared" si="1"/>
        <v>666</v>
      </c>
      <c r="X25" s="1">
        <f t="shared" si="2"/>
        <v>9.9517137386380111E-3</v>
      </c>
      <c r="Y25" s="1">
        <f t="shared" si="3"/>
        <v>3.4467253970545066E-4</v>
      </c>
    </row>
    <row r="26" spans="1:25" x14ac:dyDescent="0.35">
      <c r="A26">
        <f>7.51</f>
        <v>7.51</v>
      </c>
      <c r="B26">
        <f>19.9</f>
        <v>19.899999999999999</v>
      </c>
      <c r="H26">
        <f>7.44</f>
        <v>7.44</v>
      </c>
      <c r="I26">
        <f>55.4</f>
        <v>55.4</v>
      </c>
      <c r="K26">
        <f>5.4</f>
        <v>5.4</v>
      </c>
      <c r="L26">
        <f>70.2</f>
        <v>70.2</v>
      </c>
      <c r="O26" s="1">
        <f>32.3</f>
        <v>32.299999999999997</v>
      </c>
      <c r="P26" s="1">
        <f>4.22</f>
        <v>4.22</v>
      </c>
      <c r="Q26" s="1">
        <f t="shared" si="0"/>
        <v>323</v>
      </c>
      <c r="R26" s="1">
        <f t="shared" si="5"/>
        <v>3.2371434435695942E-2</v>
      </c>
      <c r="S26" s="1">
        <f t="shared" si="4"/>
        <v>3.4467253970545066E-4</v>
      </c>
      <c r="U26" s="1">
        <f>67.3</f>
        <v>67.3</v>
      </c>
      <c r="V26" s="1">
        <f>4.31</f>
        <v>4.3099999999999996</v>
      </c>
      <c r="W26" s="1">
        <f t="shared" si="1"/>
        <v>673</v>
      </c>
      <c r="X26" s="1">
        <f t="shared" si="2"/>
        <v>8.3602892174296992E-3</v>
      </c>
      <c r="Y26" s="1">
        <f t="shared" si="3"/>
        <v>4.9054676099856637E-4</v>
      </c>
    </row>
    <row r="27" spans="1:25" x14ac:dyDescent="0.35">
      <c r="A27">
        <f>7.84</f>
        <v>7.84</v>
      </c>
      <c r="B27">
        <f>18.6</f>
        <v>18.600000000000001</v>
      </c>
      <c r="H27">
        <f>7.72</f>
        <v>7.72</v>
      </c>
      <c r="I27">
        <f>52.8</f>
        <v>52.8</v>
      </c>
      <c r="K27">
        <f>5.53</f>
        <v>5.53</v>
      </c>
      <c r="L27">
        <f>70.8</f>
        <v>70.8</v>
      </c>
      <c r="O27" s="1">
        <f>30.6</f>
        <v>30.6</v>
      </c>
      <c r="P27" s="1">
        <f>4.52</f>
        <v>4.5199999999999996</v>
      </c>
      <c r="Q27" s="1">
        <f t="shared" si="0"/>
        <v>306</v>
      </c>
      <c r="R27" s="1">
        <f t="shared" si="5"/>
        <v>4.5003962769872494E-2</v>
      </c>
      <c r="S27" s="1">
        <f t="shared" si="4"/>
        <v>4.9054676099856637E-4</v>
      </c>
      <c r="U27" s="1">
        <f>68.4</f>
        <v>68.400000000000006</v>
      </c>
      <c r="V27" s="1">
        <f>4.45</f>
        <v>4.45</v>
      </c>
      <c r="W27" s="1">
        <f t="shared" si="1"/>
        <v>684</v>
      </c>
      <c r="X27" s="1">
        <f t="shared" si="2"/>
        <v>5.8926198144125409E-3</v>
      </c>
      <c r="Y27" s="1">
        <f t="shared" si="3"/>
        <v>5.7382577511116582E-4</v>
      </c>
    </row>
    <row r="28" spans="1:25" x14ac:dyDescent="0.35">
      <c r="A28">
        <f>8.13</f>
        <v>8.1300000000000008</v>
      </c>
      <c r="B28">
        <f>17.43</f>
        <v>17.43</v>
      </c>
      <c r="H28">
        <f>8.03</f>
        <v>8.0299999999999994</v>
      </c>
      <c r="I28">
        <f>49.9</f>
        <v>49.9</v>
      </c>
      <c r="K28">
        <f>5.75</f>
        <v>5.75</v>
      </c>
      <c r="L28">
        <f>69.5</f>
        <v>69.5</v>
      </c>
      <c r="O28" s="1">
        <f>29.7</f>
        <v>29.7</v>
      </c>
      <c r="P28" s="1">
        <f>4.8</f>
        <v>4.8</v>
      </c>
      <c r="Q28" s="1">
        <f t="shared" si="0"/>
        <v>297</v>
      </c>
      <c r="R28" s="1">
        <f t="shared" si="5"/>
        <v>5.1978954159984943E-2</v>
      </c>
      <c r="S28" s="1">
        <f t="shared" si="4"/>
        <v>5.7382577511116582E-4</v>
      </c>
      <c r="U28" s="1">
        <f>69.1</f>
        <v>69.099999999999994</v>
      </c>
      <c r="V28" s="1">
        <f>4.61</f>
        <v>4.6100000000000003</v>
      </c>
      <c r="W28" s="1">
        <f t="shared" si="1"/>
        <v>691</v>
      </c>
      <c r="X28" s="1">
        <f t="shared" si="2"/>
        <v>4.3428624102847804E-3</v>
      </c>
      <c r="Y28" s="1">
        <f t="shared" si="3"/>
        <v>6.2205732651894857E-4</v>
      </c>
    </row>
    <row r="29" spans="1:25" x14ac:dyDescent="0.35">
      <c r="A29">
        <f>8.44</f>
        <v>8.44</v>
      </c>
      <c r="B29">
        <f>16.4</f>
        <v>16.399999999999999</v>
      </c>
      <c r="H29">
        <f>8.32</f>
        <v>8.32</v>
      </c>
      <c r="I29">
        <f>47.4</f>
        <v>47.4</v>
      </c>
      <c r="K29">
        <f>5.84</f>
        <v>5.84</v>
      </c>
      <c r="L29">
        <f>69.4</f>
        <v>69.400000000000006</v>
      </c>
      <c r="O29" s="1">
        <f>29.2</f>
        <v>29.2</v>
      </c>
      <c r="P29" s="1">
        <f>5.11</f>
        <v>5.1100000000000003</v>
      </c>
      <c r="Q29" s="1">
        <f t="shared" si="0"/>
        <v>292</v>
      </c>
      <c r="R29" s="1">
        <f t="shared" si="5"/>
        <v>5.5945855219428374E-2</v>
      </c>
      <c r="S29" s="1">
        <f t="shared" si="4"/>
        <v>6.2205732651894857E-4</v>
      </c>
      <c r="U29" s="1">
        <f>69.5</f>
        <v>69.5</v>
      </c>
      <c r="V29" s="1">
        <f>4.71</f>
        <v>4.71</v>
      </c>
      <c r="W29" s="1">
        <f t="shared" si="1"/>
        <v>695</v>
      </c>
      <c r="X29" s="1">
        <f t="shared" si="2"/>
        <v>3.4643202798247744E-3</v>
      </c>
      <c r="Y29" s="1">
        <f t="shared" si="3"/>
        <v>6.3187912864150978E-4</v>
      </c>
    </row>
    <row r="30" spans="1:25" x14ac:dyDescent="0.35">
      <c r="A30">
        <f>8.72</f>
        <v>8.7200000000000006</v>
      </c>
      <c r="B30">
        <f>15.7</f>
        <v>15.7</v>
      </c>
      <c r="H30">
        <f>8.61</f>
        <v>8.61</v>
      </c>
      <c r="I30">
        <f>45.3</f>
        <v>45.3</v>
      </c>
      <c r="K30">
        <f>5.92</f>
        <v>5.92</v>
      </c>
      <c r="L30">
        <f>69.3</f>
        <v>69.3</v>
      </c>
      <c r="O30" s="1">
        <f>29.1</f>
        <v>29.1</v>
      </c>
      <c r="P30" s="1">
        <f>5.41</f>
        <v>5.41</v>
      </c>
      <c r="Q30" s="1">
        <f t="shared" si="0"/>
        <v>291</v>
      </c>
      <c r="R30" s="1">
        <f t="shared" si="5"/>
        <v>5.674738211120154E-2</v>
      </c>
      <c r="S30" s="1">
        <f t="shared" si="4"/>
        <v>6.3187912864150978E-4</v>
      </c>
      <c r="U30" s="1">
        <f>69.9</f>
        <v>69.900000000000006</v>
      </c>
      <c r="V30" s="1">
        <f>4.84</f>
        <v>4.84</v>
      </c>
      <c r="W30" s="1">
        <f t="shared" si="1"/>
        <v>699</v>
      </c>
      <c r="X30" s="1">
        <f t="shared" si="2"/>
        <v>2.5908200257885291E-3</v>
      </c>
      <c r="Y30" s="1">
        <f t="shared" si="3"/>
        <v>7.6517839413886319E-4</v>
      </c>
    </row>
    <row r="31" spans="1:25" x14ac:dyDescent="0.35">
      <c r="A31">
        <f>9.02</f>
        <v>9.02</v>
      </c>
      <c r="B31">
        <f>15</f>
        <v>15</v>
      </c>
      <c r="H31">
        <f>8.91</f>
        <v>8.91</v>
      </c>
      <c r="I31">
        <f>43.1</f>
        <v>43.1</v>
      </c>
      <c r="O31" s="1">
        <f>27.8</f>
        <v>27.8</v>
      </c>
      <c r="P31" s="1">
        <f>5.73</f>
        <v>5.73</v>
      </c>
      <c r="Q31" s="1">
        <f t="shared" si="0"/>
        <v>278</v>
      </c>
      <c r="R31" s="1">
        <f t="shared" si="5"/>
        <v>6.742545535439208E-2</v>
      </c>
      <c r="S31" s="1">
        <f t="shared" si="4"/>
        <v>7.6517839413886319E-4</v>
      </c>
      <c r="U31" s="1">
        <f>70.2</f>
        <v>70.2</v>
      </c>
      <c r="V31" s="1">
        <f>4.93</f>
        <v>4.93</v>
      </c>
      <c r="W31" s="1">
        <f t="shared" si="1"/>
        <v>702</v>
      </c>
      <c r="X31" s="1">
        <f t="shared" si="2"/>
        <v>1.9389689158949336E-3</v>
      </c>
      <c r="Y31" s="1">
        <f t="shared" si="3"/>
        <v>8.9820446307082127E-4</v>
      </c>
    </row>
    <row r="32" spans="1:25" x14ac:dyDescent="0.35">
      <c r="A32">
        <f>9.34</f>
        <v>9.34</v>
      </c>
      <c r="B32">
        <f>14.4</f>
        <v>14.4</v>
      </c>
      <c r="H32">
        <f>9.22</f>
        <v>9.2200000000000006</v>
      </c>
      <c r="I32">
        <f>43.1</f>
        <v>43.1</v>
      </c>
      <c r="K32">
        <f>10.05</f>
        <v>10.050000000000001</v>
      </c>
      <c r="L32">
        <f>30.9</f>
        <v>30.9</v>
      </c>
      <c r="O32" s="1">
        <f>26.6</f>
        <v>26.6</v>
      </c>
      <c r="P32" s="1">
        <f>6.01</f>
        <v>6.01</v>
      </c>
      <c r="Q32" s="1">
        <f t="shared" si="0"/>
        <v>266</v>
      </c>
      <c r="R32" s="1">
        <f t="shared" si="5"/>
        <v>7.7734989211620587E-2</v>
      </c>
      <c r="S32" s="1">
        <f t="shared" si="4"/>
        <v>8.9820446307082127E-4</v>
      </c>
      <c r="U32" s="1">
        <f>70.5</f>
        <v>70.5</v>
      </c>
      <c r="V32" s="1">
        <f>5.01</f>
        <v>5.01</v>
      </c>
      <c r="W32" s="1">
        <f t="shared" si="1"/>
        <v>705</v>
      </c>
      <c r="X32" s="1">
        <f t="shared" si="2"/>
        <v>1.2898975633138861E-3</v>
      </c>
      <c r="Y32" s="1">
        <f t="shared" si="3"/>
        <v>1.0419227542739914E-3</v>
      </c>
    </row>
    <row r="33" spans="1:25" x14ac:dyDescent="0.35">
      <c r="A33">
        <f>9.62</f>
        <v>9.6199999999999992</v>
      </c>
      <c r="B33">
        <f>14</f>
        <v>14</v>
      </c>
      <c r="H33">
        <f>9.54</f>
        <v>9.5399999999999991</v>
      </c>
      <c r="I33">
        <f>40</f>
        <v>40</v>
      </c>
      <c r="K33">
        <f>10.2</f>
        <v>10.199999999999999</v>
      </c>
      <c r="L33">
        <v>39.1</v>
      </c>
      <c r="O33" s="1">
        <f>25.4</f>
        <v>25.4</v>
      </c>
      <c r="P33" s="1">
        <f>6.31</f>
        <v>6.31</v>
      </c>
      <c r="Q33" s="1">
        <f t="shared" si="0"/>
        <v>254</v>
      </c>
      <c r="R33" s="1">
        <f t="shared" si="5"/>
        <v>8.8520512988060393E-2</v>
      </c>
      <c r="S33" s="1">
        <f t="shared" si="4"/>
        <v>1.0419227542739914E-3</v>
      </c>
      <c r="U33" s="1">
        <f>71.1</f>
        <v>71.099999999999994</v>
      </c>
      <c r="V33" s="1">
        <f>5.11</f>
        <v>5.1100000000000003</v>
      </c>
      <c r="W33" s="1">
        <f t="shared" si="1"/>
        <v>711</v>
      </c>
      <c r="X33" s="1">
        <f t="shared" si="2"/>
        <v>0</v>
      </c>
      <c r="Y33" s="1">
        <f t="shared" si="3"/>
        <v>1.2385474393156154E-3</v>
      </c>
    </row>
    <row r="34" spans="1:25" x14ac:dyDescent="0.35">
      <c r="A34">
        <f>9.9</f>
        <v>9.9</v>
      </c>
      <c r="B34">
        <f>13.8</f>
        <v>13.8</v>
      </c>
      <c r="H34">
        <f>9.81</f>
        <v>9.81</v>
      </c>
      <c r="I34">
        <f>39.4</f>
        <v>39.4</v>
      </c>
      <c r="K34">
        <f>10.31</f>
        <v>10.31</v>
      </c>
      <c r="L34">
        <f>39.4</f>
        <v>39.4</v>
      </c>
      <c r="O34" s="1">
        <f>23.9</f>
        <v>23.9</v>
      </c>
      <c r="P34" s="1">
        <f>6.65</f>
        <v>6.65</v>
      </c>
      <c r="Q34" s="1">
        <f t="shared" si="0"/>
        <v>239</v>
      </c>
      <c r="R34" s="1">
        <f t="shared" si="5"/>
        <v>0.10274264268129076</v>
      </c>
      <c r="S34" s="1">
        <f t="shared" si="4"/>
        <v>1.2385474393156154E-3</v>
      </c>
      <c r="U34" s="1">
        <f>70.4</f>
        <v>70.400000000000006</v>
      </c>
      <c r="V34" s="1">
        <f>5.22</f>
        <v>5.22</v>
      </c>
      <c r="W34" s="1">
        <f t="shared" si="1"/>
        <v>704</v>
      </c>
      <c r="X34" s="1">
        <f t="shared" si="2"/>
        <v>1.5059472823741901E-3</v>
      </c>
      <c r="Y34" s="1">
        <f t="shared" si="3"/>
        <v>1.3814463422109065E-3</v>
      </c>
    </row>
    <row r="35" spans="1:25" x14ac:dyDescent="0.35">
      <c r="A35">
        <f>10.23</f>
        <v>10.23</v>
      </c>
      <c r="B35">
        <f>13.6</f>
        <v>13.6</v>
      </c>
      <c r="H35">
        <f>10.15</f>
        <v>10.15</v>
      </c>
      <c r="I35">
        <f>39.1</f>
        <v>39.1</v>
      </c>
      <c r="K35">
        <f>10.43</f>
        <v>10.43</v>
      </c>
      <c r="L35">
        <f>39.6</f>
        <v>39.6</v>
      </c>
      <c r="O35" s="1">
        <f>22.9</f>
        <v>22.9</v>
      </c>
      <c r="P35" s="1">
        <f>6.9</f>
        <v>6.9</v>
      </c>
      <c r="Q35" s="1">
        <f t="shared" si="0"/>
        <v>229</v>
      </c>
      <c r="R35" s="1">
        <f t="shared" si="5"/>
        <v>0.11272898576009241</v>
      </c>
      <c r="S35" s="1">
        <f t="shared" si="4"/>
        <v>1.3814463422109065E-3</v>
      </c>
      <c r="U35" s="1">
        <f>70.1</f>
        <v>70.099999999999994</v>
      </c>
      <c r="V35" s="1">
        <f>5.33</f>
        <v>5.33</v>
      </c>
      <c r="W35" s="1">
        <f t="shared" si="1"/>
        <v>701</v>
      </c>
      <c r="X35" s="1">
        <f t="shared" si="2"/>
        <v>2.155942582747458E-3</v>
      </c>
      <c r="Y35" s="1">
        <f t="shared" si="3"/>
        <v>1.6161154306869618E-3</v>
      </c>
    </row>
    <row r="36" spans="1:25" x14ac:dyDescent="0.35">
      <c r="A36">
        <f>10.56</f>
        <v>10.56</v>
      </c>
      <c r="B36">
        <f>13.6</f>
        <v>13.6</v>
      </c>
      <c r="H36">
        <f>10.43</f>
        <v>10.43</v>
      </c>
      <c r="I36">
        <f>39</f>
        <v>39</v>
      </c>
      <c r="K36">
        <f>10.51</f>
        <v>10.51</v>
      </c>
      <c r="L36">
        <f>39.9</f>
        <v>39.9</v>
      </c>
      <c r="O36" s="1">
        <f>21.4</f>
        <v>21.4</v>
      </c>
      <c r="P36" s="1">
        <f>7.21</f>
        <v>7.21</v>
      </c>
      <c r="Q36" s="1">
        <f t="shared" si="0"/>
        <v>214</v>
      </c>
      <c r="R36" s="1">
        <f t="shared" si="5"/>
        <v>0.12855748775364104</v>
      </c>
      <c r="S36" s="1">
        <f t="shared" si="4"/>
        <v>1.6161154306869618E-3</v>
      </c>
      <c r="U36" s="1">
        <f>70.2</f>
        <v>70.2</v>
      </c>
      <c r="V36" s="1">
        <f>5.4</f>
        <v>5.4</v>
      </c>
      <c r="W36" s="1">
        <f t="shared" si="1"/>
        <v>702</v>
      </c>
      <c r="X36" s="1">
        <f t="shared" si="2"/>
        <v>1.9389689158949336E-3</v>
      </c>
      <c r="Y36" s="1">
        <f t="shared" si="3"/>
        <v>1.8789862193550708E-3</v>
      </c>
    </row>
    <row r="37" spans="1:25" x14ac:dyDescent="0.35">
      <c r="A37">
        <f>10.85</f>
        <v>10.85</v>
      </c>
      <c r="B37">
        <f>13.8</f>
        <v>13.8</v>
      </c>
      <c r="H37">
        <f>10.77</f>
        <v>10.77</v>
      </c>
      <c r="I37">
        <f>39.3</f>
        <v>39.299999999999997</v>
      </c>
      <c r="K37">
        <f>10.61</f>
        <v>10.61</v>
      </c>
      <c r="L37">
        <f>40.9</f>
        <v>40.9</v>
      </c>
      <c r="O37" s="1">
        <f>19.9</f>
        <v>19.899999999999999</v>
      </c>
      <c r="P37" s="1">
        <f>7.51</f>
        <v>7.51</v>
      </c>
      <c r="Q37" s="1">
        <f t="shared" si="0"/>
        <v>199</v>
      </c>
      <c r="R37" s="1">
        <f t="shared" si="5"/>
        <v>0.14553673782311743</v>
      </c>
      <c r="S37" s="1">
        <f t="shared" si="4"/>
        <v>1.8789862193550708E-3</v>
      </c>
      <c r="U37" s="1">
        <f>70.8</f>
        <v>70.8</v>
      </c>
      <c r="V37" s="1">
        <f>5.53</f>
        <v>5.53</v>
      </c>
      <c r="W37" s="1">
        <f t="shared" si="1"/>
        <v>708</v>
      </c>
      <c r="X37" s="1">
        <f t="shared" si="2"/>
        <v>6.4358236065769616E-4</v>
      </c>
      <c r="Y37" s="1">
        <f t="shared" si="3"/>
        <v>2.1337051011952445E-3</v>
      </c>
    </row>
    <row r="38" spans="1:25" x14ac:dyDescent="0.35">
      <c r="A38">
        <f>11.14</f>
        <v>11.14</v>
      </c>
      <c r="B38">
        <f>13.8</f>
        <v>13.8</v>
      </c>
      <c r="H38">
        <f>11.07</f>
        <v>11.07</v>
      </c>
      <c r="I38">
        <f>39.4</f>
        <v>39.4</v>
      </c>
      <c r="K38">
        <f>10.71</f>
        <v>10.71</v>
      </c>
      <c r="L38">
        <f>40.9</f>
        <v>40.9</v>
      </c>
      <c r="O38" s="1">
        <f>18.6</f>
        <v>18.600000000000001</v>
      </c>
      <c r="P38" s="1">
        <f>7.84</f>
        <v>7.84</v>
      </c>
      <c r="Q38" s="1">
        <f t="shared" si="0"/>
        <v>186</v>
      </c>
      <c r="R38" s="1">
        <f t="shared" si="5"/>
        <v>0.16132135254538177</v>
      </c>
      <c r="S38" s="1">
        <f t="shared" si="4"/>
        <v>2.1337051011952445E-3</v>
      </c>
      <c r="U38" s="1">
        <f>69.5</f>
        <v>69.5</v>
      </c>
      <c r="V38" s="1">
        <f>5.75</f>
        <v>5.75</v>
      </c>
      <c r="W38" s="1">
        <f t="shared" si="1"/>
        <v>695</v>
      </c>
      <c r="X38" s="1">
        <f t="shared" si="2"/>
        <v>3.4643202798247744E-3</v>
      </c>
      <c r="Y38" s="1">
        <f t="shared" si="3"/>
        <v>2.3880613827263189E-3</v>
      </c>
    </row>
    <row r="39" spans="1:25" x14ac:dyDescent="0.35">
      <c r="A39">
        <f>11.41</f>
        <v>11.41</v>
      </c>
      <c r="B39">
        <v>14.1</v>
      </c>
      <c r="H39">
        <f>11.54</f>
        <v>11.54</v>
      </c>
      <c r="I39">
        <f>41.4</f>
        <v>41.4</v>
      </c>
      <c r="K39">
        <v>10.83</v>
      </c>
      <c r="L39">
        <f>41.2</f>
        <v>41.2</v>
      </c>
      <c r="O39" s="1">
        <f>17.43</f>
        <v>17.43</v>
      </c>
      <c r="P39" s="1">
        <f>8.13</f>
        <v>8.1300000000000008</v>
      </c>
      <c r="Q39" s="1">
        <f t="shared" si="0"/>
        <v>174.3</v>
      </c>
      <c r="R39" s="1">
        <f t="shared" si="5"/>
        <v>0.17650096029940651</v>
      </c>
      <c r="S39" s="1">
        <f t="shared" si="4"/>
        <v>2.3880613827263189E-3</v>
      </c>
      <c r="U39" s="1">
        <f>69.4</f>
        <v>69.400000000000006</v>
      </c>
      <c r="V39" s="1">
        <f>5.84</f>
        <v>5.84</v>
      </c>
      <c r="W39" s="1">
        <f t="shared" si="1"/>
        <v>694</v>
      </c>
      <c r="X39" s="1">
        <f t="shared" si="2"/>
        <v>3.683480867037495E-3</v>
      </c>
      <c r="Y39" s="1">
        <f t="shared" si="3"/>
        <v>2.6349049338949661E-3</v>
      </c>
    </row>
    <row r="40" spans="1:25" x14ac:dyDescent="0.35">
      <c r="A40">
        <f>11.7</f>
        <v>11.7</v>
      </c>
      <c r="B40">
        <f>14.58</f>
        <v>14.58</v>
      </c>
      <c r="K40">
        <f>10.96</f>
        <v>10.96</v>
      </c>
      <c r="L40">
        <f>41.4</f>
        <v>41.4</v>
      </c>
      <c r="O40" s="1">
        <f>16.4</f>
        <v>16.399999999999999</v>
      </c>
      <c r="P40" s="1">
        <f>8.44</f>
        <v>8.44</v>
      </c>
      <c r="Q40" s="1">
        <f t="shared" si="0"/>
        <v>164</v>
      </c>
      <c r="R40" s="1">
        <f t="shared" si="5"/>
        <v>0.19073262494935439</v>
      </c>
      <c r="S40" s="1">
        <f t="shared" si="4"/>
        <v>2.6349049338949661E-3</v>
      </c>
      <c r="U40" s="1">
        <f>69.3</f>
        <v>69.3</v>
      </c>
      <c r="V40" s="1">
        <f>5.92</f>
        <v>5.92</v>
      </c>
      <c r="W40" s="1">
        <f t="shared" si="1"/>
        <v>693</v>
      </c>
      <c r="X40" s="1">
        <f t="shared" si="2"/>
        <v>3.9029574753938613E-3</v>
      </c>
      <c r="Y40" s="1">
        <f t="shared" si="3"/>
        <v>2.8166555539060807E-3</v>
      </c>
    </row>
    <row r="41" spans="1:25" x14ac:dyDescent="0.35">
      <c r="A41">
        <f>12.1</f>
        <v>12.1</v>
      </c>
      <c r="B41">
        <f>15.1</f>
        <v>15.1</v>
      </c>
      <c r="O41" s="1">
        <f>15.7</f>
        <v>15.7</v>
      </c>
      <c r="P41" s="1">
        <f>8.72</f>
        <v>8.7200000000000006</v>
      </c>
      <c r="Q41" s="1">
        <f t="shared" si="0"/>
        <v>157</v>
      </c>
      <c r="R41" s="1">
        <f t="shared" si="5"/>
        <v>0.20092435917269322</v>
      </c>
      <c r="S41" s="1">
        <f t="shared" si="4"/>
        <v>2.8166555539060807E-3</v>
      </c>
      <c r="U41" s="1">
        <f>45.3</f>
        <v>45.3</v>
      </c>
      <c r="V41" s="1">
        <f>6.13</f>
        <v>6.13</v>
      </c>
      <c r="W41" s="1">
        <f t="shared" si="1"/>
        <v>453</v>
      </c>
      <c r="X41" s="1">
        <f t="shared" si="2"/>
        <v>6.8611918465784905E-2</v>
      </c>
      <c r="Y41" s="1">
        <f t="shared" si="3"/>
        <v>2.6099057116074961E-3</v>
      </c>
    </row>
    <row r="42" spans="1:25" x14ac:dyDescent="0.35">
      <c r="A42">
        <f>2.2</f>
        <v>2.2000000000000002</v>
      </c>
      <c r="B42">
        <f>0</f>
        <v>0</v>
      </c>
      <c r="O42" s="1">
        <f>16.5</f>
        <v>16.5</v>
      </c>
      <c r="P42" s="1">
        <f>9.01</f>
        <v>9.01</v>
      </c>
      <c r="Q42" s="1">
        <f t="shared" si="0"/>
        <v>165</v>
      </c>
      <c r="R42" s="1">
        <f t="shared" si="5"/>
        <v>0.18931228708104078</v>
      </c>
      <c r="S42" s="1">
        <f t="shared" si="4"/>
        <v>2.6099057116074961E-3</v>
      </c>
      <c r="U42" s="1">
        <f>63.2</f>
        <v>63.2</v>
      </c>
      <c r="V42" s="1">
        <f>6.52</f>
        <v>6.52</v>
      </c>
      <c r="W42" s="1">
        <f t="shared" si="1"/>
        <v>632</v>
      </c>
      <c r="X42" s="1">
        <f t="shared" si="2"/>
        <v>1.7927402687425192E-2</v>
      </c>
      <c r="Y42" s="1">
        <f t="shared" si="3"/>
        <v>2.5362812020001358E-3</v>
      </c>
    </row>
    <row r="43" spans="1:25" x14ac:dyDescent="0.35">
      <c r="A43">
        <f>2.29</f>
        <v>2.29</v>
      </c>
      <c r="B43">
        <f>0</f>
        <v>0</v>
      </c>
      <c r="O43" s="1">
        <f>16.8</f>
        <v>16.8</v>
      </c>
      <c r="P43" s="1">
        <f>9.16</f>
        <v>9.16</v>
      </c>
      <c r="Q43" s="1">
        <f t="shared" si="0"/>
        <v>168</v>
      </c>
      <c r="R43" s="1">
        <f t="shared" si="5"/>
        <v>0.1851023558888262</v>
      </c>
      <c r="S43" s="1">
        <f t="shared" si="4"/>
        <v>2.5362812020001358E-3</v>
      </c>
      <c r="U43" s="1">
        <f>61.1</f>
        <v>61.1</v>
      </c>
      <c r="V43" s="1">
        <f>6.81</f>
        <v>6.81</v>
      </c>
      <c r="W43" s="1">
        <f t="shared" si="1"/>
        <v>611</v>
      </c>
      <c r="X43" s="1">
        <f t="shared" si="2"/>
        <v>2.3070847889139358E-2</v>
      </c>
      <c r="Y43" s="1">
        <f t="shared" si="3"/>
        <v>2.7634848954552244E-3</v>
      </c>
    </row>
    <row r="44" spans="1:25" x14ac:dyDescent="0.35">
      <c r="A44">
        <f>2.42</f>
        <v>2.42</v>
      </c>
      <c r="B44">
        <f>0.53</f>
        <v>0.53</v>
      </c>
      <c r="O44" s="1">
        <f>15.9</f>
        <v>15.9</v>
      </c>
      <c r="P44" s="1">
        <f>9.25</f>
        <v>9.25</v>
      </c>
      <c r="Q44" s="1">
        <f t="shared" si="0"/>
        <v>159</v>
      </c>
      <c r="R44" s="1">
        <f t="shared" si="5"/>
        <v>0.1979667898100943</v>
      </c>
      <c r="S44" s="1">
        <f t="shared" si="4"/>
        <v>2.7634848954552244E-3</v>
      </c>
      <c r="U44" s="1">
        <f>58.3</f>
        <v>58.3</v>
      </c>
      <c r="V44" s="1">
        <f>7.11</f>
        <v>7.11</v>
      </c>
      <c r="W44" s="1">
        <f t="shared" si="1"/>
        <v>583</v>
      </c>
      <c r="X44" s="1">
        <f t="shared" si="2"/>
        <v>3.0210843752320915E-2</v>
      </c>
      <c r="Y44" s="1">
        <f t="shared" si="3"/>
        <v>2.8166555539060807E-3</v>
      </c>
    </row>
    <row r="45" spans="1:25" x14ac:dyDescent="0.35">
      <c r="A45">
        <f>2.51</f>
        <v>2.5099999999999998</v>
      </c>
      <c r="B45">
        <f>1.4</f>
        <v>1.4</v>
      </c>
      <c r="O45" s="1">
        <f>15.7</f>
        <v>15.7</v>
      </c>
      <c r="P45" s="1">
        <f>9.32</f>
        <v>9.32</v>
      </c>
      <c r="Q45" s="1">
        <f t="shared" si="0"/>
        <v>157</v>
      </c>
      <c r="R45" s="1">
        <f t="shared" si="5"/>
        <v>0.20092435917269322</v>
      </c>
      <c r="S45" s="1">
        <f t="shared" si="4"/>
        <v>2.8166555539060807E-3</v>
      </c>
      <c r="U45" s="1">
        <f>55.4</f>
        <v>55.4</v>
      </c>
      <c r="V45" s="1">
        <f>7.44</f>
        <v>7.44</v>
      </c>
      <c r="W45" s="1">
        <f t="shared" si="1"/>
        <v>554</v>
      </c>
      <c r="X45" s="1">
        <f t="shared" si="2"/>
        <v>3.7976825427086316E-2</v>
      </c>
      <c r="Y45" s="1">
        <f t="shared" si="3"/>
        <v>2.8436283148092541E-3</v>
      </c>
    </row>
    <row r="46" spans="1:25" x14ac:dyDescent="0.35">
      <c r="A46">
        <f>2.6</f>
        <v>2.6</v>
      </c>
      <c r="B46">
        <f>4.4</f>
        <v>4.4000000000000004</v>
      </c>
      <c r="O46" s="1">
        <f>15.6</f>
        <v>15.6</v>
      </c>
      <c r="P46" s="1">
        <f>9.46</f>
        <v>9.4600000000000009</v>
      </c>
      <c r="Q46" s="1">
        <f t="shared" si="0"/>
        <v>156</v>
      </c>
      <c r="R46" s="1">
        <f t="shared" si="5"/>
        <v>0.20241730265371449</v>
      </c>
      <c r="S46" s="1">
        <f t="shared" si="4"/>
        <v>2.8436283148092541E-3</v>
      </c>
      <c r="U46" s="1">
        <f>52.8</f>
        <v>52.8</v>
      </c>
      <c r="V46" s="1">
        <f>7.72</f>
        <v>7.72</v>
      </c>
      <c r="W46" s="1">
        <f t="shared" si="1"/>
        <v>528</v>
      </c>
      <c r="X46" s="1">
        <f t="shared" si="2"/>
        <v>4.5293172921914662E-2</v>
      </c>
      <c r="Y46" s="1">
        <f t="shared" si="3"/>
        <v>2.8983682614920994E-3</v>
      </c>
    </row>
    <row r="47" spans="1:25" x14ac:dyDescent="0.35">
      <c r="A47">
        <f>2.71</f>
        <v>2.71</v>
      </c>
      <c r="B47">
        <f>10.1</f>
        <v>10.1</v>
      </c>
      <c r="O47" s="1">
        <f>15.4</f>
        <v>15.4</v>
      </c>
      <c r="P47" s="1">
        <f>9.59</f>
        <v>9.59</v>
      </c>
      <c r="Q47" s="1">
        <f t="shared" si="0"/>
        <v>154</v>
      </c>
      <c r="R47" s="1">
        <f t="shared" si="5"/>
        <v>0.20543211686771165</v>
      </c>
      <c r="S47" s="1">
        <f t="shared" si="4"/>
        <v>2.8983682614920994E-3</v>
      </c>
      <c r="U47" s="1">
        <f>49.9</f>
        <v>49.9</v>
      </c>
      <c r="V47" s="1">
        <f>8.03</f>
        <v>8.0299999999999994</v>
      </c>
      <c r="W47" s="1">
        <f t="shared" si="1"/>
        <v>499</v>
      </c>
      <c r="X47" s="1">
        <f t="shared" si="2"/>
        <v>5.3891375045924221E-2</v>
      </c>
      <c r="Y47" s="1">
        <f t="shared" si="3"/>
        <v>2.9261435235200068E-3</v>
      </c>
    </row>
    <row r="48" spans="1:25" x14ac:dyDescent="0.35">
      <c r="A48">
        <f>2.79</f>
        <v>2.79</v>
      </c>
      <c r="B48">
        <f>17.4</f>
        <v>17.399999999999999</v>
      </c>
      <c r="O48" s="1">
        <f>15.3</f>
        <v>15.3</v>
      </c>
      <c r="P48" s="1">
        <f>9.69</f>
        <v>9.69</v>
      </c>
      <c r="Q48" s="1">
        <f t="shared" si="0"/>
        <v>153</v>
      </c>
      <c r="R48" s="1">
        <f t="shared" si="5"/>
        <v>0.20695423860163539</v>
      </c>
      <c r="S48" s="1">
        <f t="shared" si="4"/>
        <v>2.9261435235200068E-3</v>
      </c>
      <c r="U48" s="1">
        <f>47.4</f>
        <v>47.4</v>
      </c>
      <c r="V48" s="1">
        <f>8.32</f>
        <v>8.32</v>
      </c>
      <c r="W48" s="1">
        <f t="shared" si="1"/>
        <v>474</v>
      </c>
      <c r="X48" s="1">
        <f t="shared" si="2"/>
        <v>6.1714628326965663E-2</v>
      </c>
      <c r="Y48" s="1">
        <f t="shared" si="3"/>
        <v>3.011140773043174E-3</v>
      </c>
    </row>
    <row r="49" spans="1:25" x14ac:dyDescent="0.35">
      <c r="A49">
        <f>2.82</f>
        <v>2.82</v>
      </c>
      <c r="B49">
        <f>19.1</f>
        <v>19.100000000000001</v>
      </c>
      <c r="O49" s="1">
        <f>15</f>
        <v>15</v>
      </c>
      <c r="P49" s="1">
        <f>9.88</f>
        <v>9.8800000000000008</v>
      </c>
      <c r="Q49" s="1">
        <f t="shared" si="0"/>
        <v>150</v>
      </c>
      <c r="R49" s="1">
        <f t="shared" si="5"/>
        <v>0.21158102068018209</v>
      </c>
      <c r="S49" s="1">
        <f t="shared" si="4"/>
        <v>3.011140773043174E-3</v>
      </c>
      <c r="U49" s="1">
        <f>45.3</f>
        <v>45.3</v>
      </c>
      <c r="V49" s="1">
        <f>8.61</f>
        <v>8.61</v>
      </c>
      <c r="W49" s="1">
        <f t="shared" si="1"/>
        <v>453</v>
      </c>
      <c r="X49" s="1">
        <f t="shared" si="2"/>
        <v>6.8611918465784905E-2</v>
      </c>
      <c r="Y49" s="1">
        <f t="shared" si="3"/>
        <v>3.0692422702015398E-3</v>
      </c>
    </row>
    <row r="50" spans="1:25" x14ac:dyDescent="0.35">
      <c r="A50">
        <f>2.91</f>
        <v>2.91</v>
      </c>
      <c r="B50">
        <f>26.5</f>
        <v>26.5</v>
      </c>
      <c r="O50" s="1">
        <f>14.8</f>
        <v>14.8</v>
      </c>
      <c r="P50" s="1">
        <f>10</f>
        <v>10</v>
      </c>
      <c r="Q50" s="1">
        <f t="shared" si="0"/>
        <v>148</v>
      </c>
      <c r="R50" s="1">
        <f t="shared" si="5"/>
        <v>0.21471724038395326</v>
      </c>
      <c r="S50" s="1">
        <f t="shared" si="4"/>
        <v>3.0692422702015398E-3</v>
      </c>
      <c r="U50" s="1">
        <f>43.1</f>
        <v>43.1</v>
      </c>
      <c r="V50" s="1">
        <f>8.91</f>
        <v>8.91</v>
      </c>
      <c r="W50" s="1">
        <f t="shared" si="1"/>
        <v>431</v>
      </c>
      <c r="X50" s="1">
        <f t="shared" si="2"/>
        <v>7.6189397214534715E-2</v>
      </c>
      <c r="Y50" s="1">
        <f t="shared" si="3"/>
        <v>3.0987376633871502E-3</v>
      </c>
    </row>
    <row r="51" spans="1:25" x14ac:dyDescent="0.35">
      <c r="A51">
        <f>3.02</f>
        <v>3.02</v>
      </c>
      <c r="B51">
        <f>33.5</f>
        <v>33.5</v>
      </c>
      <c r="O51" s="1">
        <v>14.7</v>
      </c>
      <c r="P51" s="1">
        <f>10.11</f>
        <v>10.11</v>
      </c>
      <c r="Q51" s="1">
        <f t="shared" si="0"/>
        <v>147</v>
      </c>
      <c r="R51" s="1">
        <f t="shared" si="5"/>
        <v>0.21630127939922866</v>
      </c>
      <c r="S51" s="1">
        <f t="shared" si="4"/>
        <v>3.0987376633871502E-3</v>
      </c>
      <c r="U51" s="1">
        <f>43.1</f>
        <v>43.1</v>
      </c>
      <c r="V51" s="1">
        <f>9.22</f>
        <v>9.2200000000000006</v>
      </c>
      <c r="W51" s="1">
        <f t="shared" si="1"/>
        <v>431</v>
      </c>
      <c r="X51" s="1">
        <f t="shared" si="2"/>
        <v>7.6189397214534715E-2</v>
      </c>
      <c r="Y51" s="1">
        <f t="shared" si="3"/>
        <v>3.0987376633871502E-3</v>
      </c>
    </row>
    <row r="52" spans="1:25" x14ac:dyDescent="0.35">
      <c r="A52">
        <f>3.11</f>
        <v>3.11</v>
      </c>
      <c r="B52">
        <f>37.1</f>
        <v>37.1</v>
      </c>
      <c r="O52" s="1">
        <f>14.7</f>
        <v>14.7</v>
      </c>
      <c r="P52" s="1">
        <f>10.2</f>
        <v>10.199999999999999</v>
      </c>
      <c r="Q52" s="1">
        <f t="shared" si="0"/>
        <v>147</v>
      </c>
      <c r="R52" s="1">
        <f t="shared" si="5"/>
        <v>0.21630127939922866</v>
      </c>
      <c r="S52" s="1">
        <f t="shared" si="4"/>
        <v>3.0987376633871502E-3</v>
      </c>
      <c r="U52" s="1">
        <f>40</f>
        <v>40</v>
      </c>
      <c r="V52" s="1">
        <f>9.54</f>
        <v>9.5399999999999991</v>
      </c>
      <c r="W52" s="1">
        <f t="shared" si="1"/>
        <v>400</v>
      </c>
      <c r="X52" s="1">
        <f t="shared" si="2"/>
        <v>8.755066707690394E-2</v>
      </c>
      <c r="Y52" s="1">
        <f t="shared" si="3"/>
        <v>3.0987376633871502E-3</v>
      </c>
    </row>
    <row r="53" spans="1:25" x14ac:dyDescent="0.35">
      <c r="A53">
        <f>3.2</f>
        <v>3.2</v>
      </c>
      <c r="B53">
        <f>39</f>
        <v>39</v>
      </c>
      <c r="O53" s="1">
        <f>14.7</f>
        <v>14.7</v>
      </c>
      <c r="P53" s="1">
        <f>10.34</f>
        <v>10.34</v>
      </c>
      <c r="Q53" s="1">
        <f t="shared" si="0"/>
        <v>147</v>
      </c>
      <c r="R53" s="1">
        <f t="shared" si="5"/>
        <v>0.21630127939922866</v>
      </c>
      <c r="S53" s="1">
        <f t="shared" si="4"/>
        <v>3.0987376633871502E-3</v>
      </c>
      <c r="U53" s="1">
        <f>39.4</f>
        <v>39.4</v>
      </c>
      <c r="V53" s="1">
        <f>9.81</f>
        <v>9.81</v>
      </c>
      <c r="W53" s="1">
        <f t="shared" si="1"/>
        <v>394</v>
      </c>
      <c r="X53" s="1">
        <f t="shared" si="2"/>
        <v>8.9851068570061976E-2</v>
      </c>
      <c r="Y53" s="1">
        <f t="shared" si="3"/>
        <v>3.0692422702015398E-3</v>
      </c>
    </row>
    <row r="54" spans="1:25" x14ac:dyDescent="0.35">
      <c r="A54">
        <f>3.3</f>
        <v>3.3</v>
      </c>
      <c r="B54">
        <f>29.8</f>
        <v>29.8</v>
      </c>
      <c r="O54" s="1">
        <f>14.8</f>
        <v>14.8</v>
      </c>
      <c r="P54" s="1">
        <f>10.41</f>
        <v>10.41</v>
      </c>
      <c r="Q54" s="1">
        <f t="shared" si="0"/>
        <v>148</v>
      </c>
      <c r="R54" s="1">
        <f t="shared" si="5"/>
        <v>0.21471724038395326</v>
      </c>
      <c r="S54" s="1">
        <f t="shared" si="4"/>
        <v>3.0692422702015398E-3</v>
      </c>
      <c r="U54" s="1">
        <f>30.9</f>
        <v>30.9</v>
      </c>
      <c r="V54" s="1">
        <f>10.05</f>
        <v>10.050000000000001</v>
      </c>
      <c r="W54" s="1">
        <f t="shared" si="1"/>
        <v>309</v>
      </c>
      <c r="X54" s="1">
        <f t="shared" si="2"/>
        <v>0.1268388360586751</v>
      </c>
      <c r="Y54" s="1">
        <f t="shared" si="3"/>
        <v>3.0400448563406663E-3</v>
      </c>
    </row>
    <row r="55" spans="1:25" x14ac:dyDescent="0.35">
      <c r="O55" s="1">
        <f>14.9</f>
        <v>14.9</v>
      </c>
      <c r="P55" s="1">
        <f>10.54</f>
        <v>10.54</v>
      </c>
      <c r="Q55" s="1">
        <f t="shared" si="0"/>
        <v>149</v>
      </c>
      <c r="R55" s="1">
        <f t="shared" si="5"/>
        <v>0.21314386837896634</v>
      </c>
      <c r="S55" s="1">
        <f t="shared" si="4"/>
        <v>3.0400448563406663E-3</v>
      </c>
      <c r="U55" s="1">
        <v>39.1</v>
      </c>
      <c r="V55" s="1">
        <f>10.2</f>
        <v>10.199999999999999</v>
      </c>
      <c r="W55" s="1">
        <f t="shared" si="1"/>
        <v>391</v>
      </c>
      <c r="X55" s="1">
        <f t="shared" si="2"/>
        <v>9.1014439850513718E-2</v>
      </c>
      <c r="Y55" s="1">
        <f t="shared" si="3"/>
        <v>3.011140773043174E-3</v>
      </c>
    </row>
    <row r="56" spans="1:25" x14ac:dyDescent="0.35">
      <c r="O56" s="1">
        <f>15</f>
        <v>15</v>
      </c>
      <c r="P56" s="1">
        <f>10.65</f>
        <v>10.65</v>
      </c>
      <c r="Q56" s="1">
        <f t="shared" si="0"/>
        <v>150</v>
      </c>
      <c r="R56" s="1">
        <f t="shared" si="5"/>
        <v>0.21158102068018209</v>
      </c>
      <c r="S56" s="1">
        <f t="shared" si="4"/>
        <v>3.011140773043174E-3</v>
      </c>
      <c r="U56" s="1">
        <f>39.4</f>
        <v>39.4</v>
      </c>
      <c r="V56" s="1">
        <f>10.31</f>
        <v>10.31</v>
      </c>
      <c r="W56" s="1">
        <f t="shared" si="1"/>
        <v>394</v>
      </c>
      <c r="X56" s="1">
        <f t="shared" si="2"/>
        <v>8.9851068570061976E-2</v>
      </c>
      <c r="Y56" s="1">
        <f t="shared" si="3"/>
        <v>2.968324722673782E-3</v>
      </c>
    </row>
    <row r="57" spans="1:25" x14ac:dyDescent="0.35">
      <c r="O57" s="1">
        <f>15.15</f>
        <v>15.15</v>
      </c>
      <c r="P57" s="1">
        <f>10.76</f>
        <v>10.76</v>
      </c>
      <c r="Q57" s="1">
        <f t="shared" si="0"/>
        <v>151.5</v>
      </c>
      <c r="R57" s="1">
        <f t="shared" si="5"/>
        <v>0.20925617702289981</v>
      </c>
      <c r="S57" s="1">
        <f t="shared" si="4"/>
        <v>2.968324722673782E-3</v>
      </c>
      <c r="U57" s="1">
        <f>39.6</f>
        <v>39.6</v>
      </c>
      <c r="V57" s="1">
        <f>10.43</f>
        <v>10.43</v>
      </c>
      <c r="W57" s="1">
        <f t="shared" si="1"/>
        <v>396</v>
      </c>
      <c r="X57" s="1">
        <f t="shared" si="2"/>
        <v>8.9080398561455151E-2</v>
      </c>
      <c r="Y57" s="1">
        <f t="shared" si="3"/>
        <v>2.9541945074459466E-3</v>
      </c>
    </row>
    <row r="58" spans="1:25" x14ac:dyDescent="0.35">
      <c r="O58" s="1">
        <f>15.2</f>
        <v>15.2</v>
      </c>
      <c r="P58" s="1">
        <f>10.85</f>
        <v>10.85</v>
      </c>
      <c r="Q58" s="1">
        <f t="shared" si="0"/>
        <v>152</v>
      </c>
      <c r="R58" s="1">
        <f t="shared" si="5"/>
        <v>0.20848634153298104</v>
      </c>
      <c r="S58" s="1">
        <f t="shared" si="4"/>
        <v>2.9541945074459466E-3</v>
      </c>
      <c r="U58" s="1">
        <f>39.9</f>
        <v>39.9</v>
      </c>
      <c r="V58" s="1">
        <f>10.51</f>
        <v>10.51</v>
      </c>
      <c r="W58" s="1">
        <f t="shared" si="1"/>
        <v>399</v>
      </c>
      <c r="X58" s="1">
        <f t="shared" si="2"/>
        <v>8.7931661021823038E-2</v>
      </c>
      <c r="Y58" s="1">
        <f t="shared" si="3"/>
        <v>3.3784265230641722E-3</v>
      </c>
    </row>
    <row r="59" spans="1:25" x14ac:dyDescent="0.35">
      <c r="O59" s="1">
        <f>13.8</f>
        <v>13.8</v>
      </c>
      <c r="P59" s="1">
        <f>11.14</f>
        <v>11.14</v>
      </c>
      <c r="Q59" s="1">
        <f t="shared" si="0"/>
        <v>138</v>
      </c>
      <c r="R59" s="1">
        <f t="shared" si="5"/>
        <v>0.23106270501173606</v>
      </c>
      <c r="S59" s="1">
        <f t="shared" si="4"/>
        <v>3.3784265230641722E-3</v>
      </c>
      <c r="U59" s="1">
        <f>40.9</f>
        <v>40.9</v>
      </c>
      <c r="V59" s="1">
        <f>10.61</f>
        <v>10.61</v>
      </c>
      <c r="W59" s="1">
        <f t="shared" si="1"/>
        <v>409</v>
      </c>
      <c r="X59" s="1">
        <f t="shared" si="2"/>
        <v>8.4163968608894829E-2</v>
      </c>
      <c r="Y59" s="1">
        <f t="shared" si="3"/>
        <v>3.2822414677901048E-3</v>
      </c>
    </row>
    <row r="60" spans="1:25" x14ac:dyDescent="0.35">
      <c r="O60" s="1">
        <v>14.1</v>
      </c>
      <c r="P60" s="1">
        <f>11.41</f>
        <v>11.41</v>
      </c>
      <c r="Q60" s="1">
        <f t="shared" si="0"/>
        <v>141</v>
      </c>
      <c r="R60" s="1">
        <f t="shared" si="5"/>
        <v>0.22603789070777258</v>
      </c>
      <c r="S60" s="1">
        <f t="shared" si="4"/>
        <v>3.2822414677901048E-3</v>
      </c>
      <c r="U60" s="1">
        <f>40.9</f>
        <v>40.9</v>
      </c>
      <c r="V60" s="1">
        <f>10.71</f>
        <v>10.71</v>
      </c>
      <c r="W60" s="1">
        <f t="shared" si="1"/>
        <v>409</v>
      </c>
      <c r="X60" s="1">
        <f t="shared" si="2"/>
        <v>8.4163968608894829E-2</v>
      </c>
      <c r="Y60" s="1">
        <f t="shared" si="3"/>
        <v>3.1345321678916335E-3</v>
      </c>
    </row>
    <row r="61" spans="1:25" x14ac:dyDescent="0.35">
      <c r="O61" s="1">
        <f>14.58</f>
        <v>14.58</v>
      </c>
      <c r="P61" s="1">
        <f>11.7</f>
        <v>11.7</v>
      </c>
      <c r="Q61" s="1">
        <f t="shared" si="0"/>
        <v>145.80000000000001</v>
      </c>
      <c r="R61" s="1">
        <f t="shared" si="5"/>
        <v>0.21821641192356944</v>
      </c>
      <c r="S61" s="1">
        <f t="shared" si="4"/>
        <v>3.1345321678916335E-3</v>
      </c>
      <c r="U61" s="1">
        <f>41.2</f>
        <v>41.2</v>
      </c>
      <c r="V61" s="1">
        <v>10.83</v>
      </c>
      <c r="W61" s="1">
        <f t="shared" si="1"/>
        <v>412</v>
      </c>
      <c r="X61" s="1">
        <f t="shared" si="2"/>
        <v>8.3051610419134628E-2</v>
      </c>
      <c r="Y61" s="1">
        <f t="shared" si="3"/>
        <v>2.9825254729886176E-3</v>
      </c>
    </row>
    <row r="62" spans="1:25" x14ac:dyDescent="0.35">
      <c r="O62" s="1">
        <f>15.1</f>
        <v>15.1</v>
      </c>
      <c r="P62" s="1">
        <f>12.1</f>
        <v>12.1</v>
      </c>
      <c r="Q62" s="1">
        <f t="shared" si="0"/>
        <v>151</v>
      </c>
      <c r="R62" s="1">
        <f t="shared" si="5"/>
        <v>0.21002855742815671</v>
      </c>
      <c r="S62" s="1">
        <f t="shared" si="4"/>
        <v>2.9825254729886176E-3</v>
      </c>
      <c r="U62" s="1">
        <f>41.4</f>
        <v>41.4</v>
      </c>
      <c r="V62" s="1">
        <f>10.96</f>
        <v>10.96</v>
      </c>
      <c r="W62" s="1">
        <f t="shared" si="1"/>
        <v>414</v>
      </c>
      <c r="X62" s="1">
        <f t="shared" si="2"/>
        <v>8.2314529068177558E-2</v>
      </c>
      <c r="Y62" s="1">
        <f t="shared" si="3"/>
        <v>0</v>
      </c>
    </row>
    <row r="63" spans="1:25" x14ac:dyDescent="0.35">
      <c r="U63" s="1">
        <f>39.4</f>
        <v>39.4</v>
      </c>
      <c r="V63" s="1">
        <f>11.07</f>
        <v>11.07</v>
      </c>
      <c r="W63" s="1">
        <f t="shared" si="1"/>
        <v>394</v>
      </c>
      <c r="X63" s="1">
        <f t="shared" si="2"/>
        <v>8.9851068570061976E-2</v>
      </c>
      <c r="Y63" s="1">
        <f t="shared" si="3"/>
        <v>0</v>
      </c>
    </row>
    <row r="64" spans="1:25" x14ac:dyDescent="0.35">
      <c r="U64" s="1">
        <f>41.4</f>
        <v>41.4</v>
      </c>
      <c r="V64" s="1">
        <f>11.54</f>
        <v>11.54</v>
      </c>
      <c r="W64" s="1">
        <f t="shared" si="1"/>
        <v>414</v>
      </c>
      <c r="X64" s="1">
        <f t="shared" si="2"/>
        <v>8.2314529068177558E-2</v>
      </c>
      <c r="Y64" s="1">
        <f t="shared" si="3"/>
        <v>0</v>
      </c>
    </row>
  </sheetData>
  <mergeCells count="2">
    <mergeCell ref="O1:S2"/>
    <mergeCell ref="U1:Y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Батарин</dc:creator>
  <cp:lastModifiedBy>Михаил Васильев</cp:lastModifiedBy>
  <dcterms:created xsi:type="dcterms:W3CDTF">2021-10-13T06:15:17Z</dcterms:created>
  <dcterms:modified xsi:type="dcterms:W3CDTF">2021-10-19T21:19:50Z</dcterms:modified>
</cp:coreProperties>
</file>